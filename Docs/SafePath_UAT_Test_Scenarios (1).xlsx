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diazphyo/Downloads/"/>
    </mc:Choice>
  </mc:AlternateContent>
  <xr:revisionPtr revIDLastSave="0" documentId="13_ncr:1_{8384D898-D386-204E-93B5-9E15F0905859}" xr6:coauthVersionLast="47" xr6:coauthVersionMax="47" xr10:uidLastSave="{00000000-0000-0000-0000-000000000000}"/>
  <bookViews>
    <workbookView xWindow="0" yWindow="0" windowWidth="28800" windowHeight="18000" tabRatio="500" activeTab="2" xr2:uid="{00000000-000D-0000-FFFF-FFFF00000000}"/>
  </bookViews>
  <sheets>
    <sheet name="Read Me" sheetId="1" r:id="rId1"/>
    <sheet name="UAT Test Cases" sheetId="2" r:id="rId2"/>
    <sheet name="Admin UAT Test Cases" sheetId="3" r:id="rId3"/>
    <sheet name="Summary" sheetId="4" r:id="rId4"/>
  </sheets>
  <definedNames>
    <definedName name="_xlnm._FilterDatabase" localSheetId="2" hidden="1">'Admin UAT Test Cases'!$A$1:$N$29</definedName>
    <definedName name="_xlnm._FilterDatabase" localSheetId="1" hidden="1">'UAT Test Cases'!$A$1:$N$46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4" l="1"/>
  <c r="B28" i="4"/>
  <c r="B27" i="4"/>
  <c r="B26" i="4"/>
  <c r="B25" i="4"/>
  <c r="B24" i="4"/>
  <c r="B23" i="4"/>
  <c r="B19" i="4"/>
  <c r="B18" i="4"/>
  <c r="B17" i="4"/>
  <c r="B16" i="4"/>
  <c r="B15" i="4"/>
  <c r="B14" i="4"/>
  <c r="B13" i="4"/>
  <c r="B12" i="4"/>
  <c r="B7" i="4"/>
  <c r="B6" i="4"/>
  <c r="B5" i="4"/>
  <c r="B4" i="4"/>
  <c r="B8" i="4" s="1"/>
  <c r="B3" i="4"/>
</calcChain>
</file>

<file path=xl/sharedStrings.xml><?xml version="1.0" encoding="utf-8"?>
<sst xmlns="http://schemas.openxmlformats.org/spreadsheetml/2006/main" count="1106" uniqueCount="482">
  <si>
    <t>SafePath Berlin – UAT Test Scenarios</t>
  </si>
  <si>
    <t>User Acceptance Testing pack focused on UX, UI and user convenience</t>
  </si>
  <si>
    <t>About this workbook</t>
  </si>
  <si>
    <t>This workbook contains User Acceptance Test (UAT) scenarios for the SafePath Berlin web app (https://safepath.duckdns.org/home), written from an end user's point of view. The 'UAT Test Cases' sheet covers the Home / route search screen, route details, login, registration, incident reporting, profile management, the AI chat assistant, and general cross-device usability. The 'Admin UAT Test Cases' sheet (same layout) covers the Admin Dashboard: role-based access, Overview, Search Logs, Incident Logs, User Management, and Login Logs.</t>
  </si>
  <si>
    <t>How to use</t>
  </si>
  <si>
    <t>1. Go to the 'UAT Test Cases' sheet.</t>
  </si>
  <si>
    <t>2. For each Test ID, follow the Test Steps against the Preconditions and Test Data given.</t>
  </si>
  <si>
    <t>3. Record the Test Device / Browser used for that run.</t>
  </si>
  <si>
    <t>4. Fill in Actual Result with what you observed.</t>
  </si>
  <si>
    <t>5. Set Status using the dropdown: Pass, Fail, Blocked, or Not Executed.</t>
  </si>
  <si>
    <t>6. Add any Remarks (bugs, suggestions, screenshots reference, ticket number, etc.).</t>
  </si>
  <si>
    <t>7. Use the Summary sheet to track overall pass/fail progress.</t>
  </si>
  <si>
    <t>Column guide</t>
  </si>
  <si>
    <t>• Test ID: Unique ID per scenario, prefixed by module (e.g. HOME-01, LOGIN-02).</t>
  </si>
  <si>
    <t>• Module: App area / page being tested.</t>
  </si>
  <si>
    <t>• Test Scenario: Short title of what is being verified.</t>
  </si>
  <si>
    <t>• Test Steps: Numbered steps to reproduce.</t>
  </si>
  <si>
    <t>• Preconditions: State required before starting (e.g. logged in, on mobile).</t>
  </si>
  <si>
    <t>• Test Data: Example input values to use.</t>
  </si>
  <si>
    <t>• Expected Result: What should happen if the feature works correctly.</t>
  </si>
  <si>
    <t>• Test Device / Browser: Device + browser combination used for this run.</t>
  </si>
  <si>
    <t>• Actual Result: What actually happened – fill in during testing.</t>
  </si>
  <si>
    <t>• Status: Pass / Fail / Blocked / Not Executed.</t>
  </si>
  <si>
    <t>• Priority: How critical this scenario is (High / Medium / Low).</t>
  </si>
  <si>
    <t>• Tester: Name of the person who executed the test.</t>
  </si>
  <si>
    <t>• Test Date: Date the test was executed.</t>
  </si>
  <si>
    <t>• Remarks: Bugs found, screenshots, follow-up notes.</t>
  </si>
  <si>
    <t>Note: this workbook currently shows a completed test run (all scenarios marked Pass, dated 2026-08-15). Remarks include a few Pass items with 'nice to have' or convenience notes spotted during testing — these did not fail the test, they are just suggestions for a future iteration. To start a fresh run, clear the Actual Result, Status, Tester, Test Date, and Remarks columns on the Test Cases sheets.</t>
  </si>
  <si>
    <t>Test ID</t>
  </si>
  <si>
    <t>Module</t>
  </si>
  <si>
    <t>Test Scenario</t>
  </si>
  <si>
    <t>Test Steps</t>
  </si>
  <si>
    <t>Preconditions</t>
  </si>
  <si>
    <t>Test Data</t>
  </si>
  <si>
    <t>Expected Result</t>
  </si>
  <si>
    <t>Test Device / Browser</t>
  </si>
  <si>
    <t>Actual Result</t>
  </si>
  <si>
    <t>Status</t>
  </si>
  <si>
    <t>Priority</t>
  </si>
  <si>
    <t>Tester</t>
  </si>
  <si>
    <t>Test Date</t>
  </si>
  <si>
    <t>Remarks</t>
  </si>
  <si>
    <t>HOME-01</t>
  </si>
  <si>
    <t>Home / Route Search</t>
  </si>
  <si>
    <t>Search for a safe route without logging in</t>
  </si>
  <si>
    <t>1. Open https://safepath.duckdns.org/home without logging in.
2. Enter a start location.
3. Enter a destination.
4. Click 'Search Safe Route'.</t>
  </si>
  <si>
    <t>App is loaded, user is not logged in</t>
  </si>
  <si>
    <t>Start: Alexanderplatz
Destination: Brandenburg Gate</t>
  </si>
  <si>
    <t>User can search and view route options without needing to log in first.</t>
  </si>
  <si>
    <t>Matches expected result.</t>
  </si>
  <si>
    <t>Pass</t>
  </si>
  <si>
    <t>High</t>
  </si>
  <si>
    <t>May Pyae Phyo Thaw</t>
  </si>
  <si>
    <t>2026-08-15</t>
  </si>
  <si>
    <t>Passed.</t>
  </si>
  <si>
    <t>HOME-02</t>
  </si>
  <si>
    <t>Location autocomplete suggestions appear while typing</t>
  </si>
  <si>
    <t>1. Click into the 'Start Location' field.
2. Type a partial place name.
3. Observe the suggestion dropdown.
4. Select a suggestion.</t>
  </si>
  <si>
    <t>On Home page</t>
  </si>
  <si>
    <t>Type: 'Alexander'</t>
  </si>
  <si>
    <t>A dropdown of matching place suggestions appears within ~1-2 seconds and clicking one fills the field correctly.</t>
  </si>
  <si>
    <t>Medium</t>
  </si>
  <si>
    <t>Passed. Nice to have: bold or highlight the matching text inside each suggestion so it is faster to scan.</t>
  </si>
  <si>
    <t>HOME-03</t>
  </si>
  <si>
    <t>Switch between Walking and Driving travel mode</t>
  </si>
  <si>
    <t>1. On Home page, locate the Walking/Driving toggle.
2. Tap 'Driving'.
3. Enter start and destination.
4. Tap 'Search Safe Route'.
5. Repeat with 'Walking' selected.</t>
  </si>
  <si>
    <t>Any valid start/destination pair</t>
  </si>
  <si>
    <t>Selected mode is visually highlighted, and returned routes/duration change appropriately to match the chosen mode.</t>
  </si>
  <si>
    <t>Passed. Convenience idea: remember the traveller's last-used mode (walking/driving) for their next visit.</t>
  </si>
  <si>
    <t>HOME-04</t>
  </si>
  <si>
    <t>Clear button resets the search form</t>
  </si>
  <si>
    <t>1. Fill in Start Location and Destination fields.
2. Click the 'Clear' button.</t>
  </si>
  <si>
    <t>Fields have values entered</t>
  </si>
  <si>
    <t>Any values</t>
  </si>
  <si>
    <t>Both fields (and any shown results/pins) are cleared back to empty state.</t>
  </si>
  <si>
    <t>Low</t>
  </si>
  <si>
    <t>HOME-05</t>
  </si>
  <si>
    <t>Search with an invalid or unrecognisable location</t>
  </si>
  <si>
    <t>1. Enter a nonsense value (e.g. 'zzxxqq123') into Destination.
2. Click 'Search Safe Route'.</t>
  </si>
  <si>
    <t>Destination: 'zzxxqq123'</t>
  </si>
  <si>
    <t>App shows a clear, friendly error/no-results message instead of freezing or showing a blank screen.</t>
  </si>
  <si>
    <t>HOME-06</t>
  </si>
  <si>
    <t>Search with empty Start or Destination field</t>
  </si>
  <si>
    <t>1. Leave 'Start Location' empty.
2. Enter a valid Destination.
3. Click 'Search Safe Route'.</t>
  </si>
  <si>
    <t>Destination: 'Museum Island'</t>
  </si>
  <si>
    <t>App prevents submission or shows a validation message asking for the missing field, rather than erroring silently.</t>
  </si>
  <si>
    <t>HOME-07</t>
  </si>
  <si>
    <t>Multiple route options are displayed with names</t>
  </si>
  <si>
    <t>1. Perform a valid route search.
2. Review the list of returned route cards.</t>
  </si>
  <si>
    <t>Search returns at least one result</t>
  </si>
  <si>
    <t>Start: Hauptbahnhof, Destination: Alexanderplatz</t>
  </si>
  <si>
    <t>At least one route option is shown, each with a readable name/label and a 'View Details' action.</t>
  </si>
  <si>
    <t>Passed. Nice to have: show a small safety-score badge directly on each route card, not only after opening details.</t>
  </si>
  <si>
    <t>HOME-08</t>
  </si>
  <si>
    <t>Map updates to reflect the searched route</t>
  </si>
  <si>
    <t>1. Perform a valid route search.
2. Observe the map panel.</t>
  </si>
  <si>
    <t>Map re-centres/zooms to show the route path and start/end markers clearly, without needing manual zoom.</t>
  </si>
  <si>
    <t>HOME-09</t>
  </si>
  <si>
    <t>'View Details' on a route prompts login for guest user</t>
  </si>
  <si>
    <t>1. As a guest (not logged in), search for a route.
2. Click 'View Details' on a route card.</t>
  </si>
  <si>
    <t>User is NOT logged in</t>
  </si>
  <si>
    <t>Any completed search</t>
  </si>
  <si>
    <t>A 'Login required' dialog appears explaining detailed route safety is for registered users, with Login/Cancel options.</t>
  </si>
  <si>
    <t>HOME-10</t>
  </si>
  <si>
    <t>'View Details' opens Route Details page for logged-in user</t>
  </si>
  <si>
    <t>1. Log in.
2. Search for a route.
3. Click 'View Details' on a route card.</t>
  </si>
  <si>
    <t>User is logged in</t>
  </si>
  <si>
    <t>User is taken directly to the Route Details page for that route, no login prompt appears.</t>
  </si>
  <si>
    <t>ROUTE-01</t>
  </si>
  <si>
    <t>Route Details</t>
  </si>
  <si>
    <t>Route details show distance, duration, and route type</t>
  </si>
  <si>
    <t>1. Log in and open a route's details page.
2. Review the summary list.</t>
  </si>
  <si>
    <t>Logged in, viewing a Route Details page</t>
  </si>
  <si>
    <t>Any selected route</t>
  </si>
  <si>
    <t>Distance covered, estimated duration, and route type are all shown with correct, readable values.</t>
  </si>
  <si>
    <t>ROUTE-02</t>
  </si>
  <si>
    <t>Journey (start → destination) is clearly labelled</t>
  </si>
  <si>
    <t>1. Open a Route Details page.
2. Check the 'Journey' field.</t>
  </si>
  <si>
    <t>Journey field clearly shows start and destination in an easy-to-read format.</t>
  </si>
  <si>
    <t>ROUTE-03</t>
  </si>
  <si>
    <t>'Back to Search' returns user to Home with results intact</t>
  </si>
  <si>
    <t>1. On Route Details page, click 'Back to Search'.</t>
  </si>
  <si>
    <t>Arrived at Route Details from a Home search</t>
  </si>
  <si>
    <t>N/A</t>
  </si>
  <si>
    <t>User is returned to the Home page; ideally previous search/results are still visible rather than reset.</t>
  </si>
  <si>
    <t>LOGIN-01</t>
  </si>
  <si>
    <t>Login</t>
  </si>
  <si>
    <t>Successful login with valid email and password</t>
  </si>
  <si>
    <t>1. Go to Login page.
2. Enter valid registered email and password.
3. Click 'Login'.</t>
  </si>
  <si>
    <t>An account already exists</t>
  </si>
  <si>
    <t>Valid test account credentials</t>
  </si>
  <si>
    <t>User is logged in and redirected to the Home page; nav shows logged-in state (e.g. profile access).</t>
  </si>
  <si>
    <t>LOGIN-02</t>
  </si>
  <si>
    <t>Login fails gracefully with wrong password</t>
  </si>
  <si>
    <t>1. Go to Login page.
2. Enter a valid email with an incorrect password.
3. Click 'Login'.</t>
  </si>
  <si>
    <t>Valid email, wrong password</t>
  </si>
  <si>
    <t>A clear error message is shown; user is not logged in and password field is easy to correct.</t>
  </si>
  <si>
    <t>LOGIN-03</t>
  </si>
  <si>
    <t>Social/provider login button works</t>
  </si>
  <si>
    <t>1. Go to Login page.
2. Click one of the listed identity provider buttons.</t>
  </si>
  <si>
    <t>On Login page</t>
  </si>
  <si>
    <t>User is redirected to the provider's auth flow and, on success, returns logged in to SafePath.</t>
  </si>
  <si>
    <t>Passed. Convenience: consider adding an Apple sign-in option alongside the existing provider for iOS users.</t>
  </si>
  <si>
    <t>LOGIN-04</t>
  </si>
  <si>
    <t>'Click to register' link navigates to Register page</t>
  </si>
  <si>
    <t>1. On Login page, click the register link/prompt.</t>
  </si>
  <si>
    <t>User is taken to the Register page without errors.</t>
  </si>
  <si>
    <t>LOGIN-05</t>
  </si>
  <si>
    <t>Password field masks input</t>
  </si>
  <si>
    <t>1. On Login page, click into the password field.
2. Type a password.</t>
  </si>
  <si>
    <t>Any string</t>
  </si>
  <si>
    <t>Characters are shown as dots/asterisks, not plain text, and there's no obvious way to accidentally reveal it.</t>
  </si>
  <si>
    <t>REG-01</t>
  </si>
  <si>
    <t>Register</t>
  </si>
  <si>
    <t>Successful registration with valid details</t>
  </si>
  <si>
    <t>1. Go to Register page.
2. Enter Name, Email, and Password.
3. Click 'Create Account'.</t>
  </si>
  <si>
    <t>Email is not already registered</t>
  </si>
  <si>
    <t>Name: Test User, Email: newuser@test.com, Password: Test1234!</t>
  </si>
  <si>
    <t>Account is created, user receives confirmation/is logged in, and is redirected appropriately.</t>
  </si>
  <si>
    <t>Passed. Nice to have: a password-strength meter would help users pick a stronger password on the first try.</t>
  </si>
  <si>
    <t>REG-02</t>
  </si>
  <si>
    <t>Registration blocks duplicate email</t>
  </si>
  <si>
    <t>1. Go to Register page.
2. Enter an email that is already registered.
3. Click 'Create Account'.</t>
  </si>
  <si>
    <t>Test account with this email already exists</t>
  </si>
  <si>
    <t>Existing account email</t>
  </si>
  <si>
    <t>A clear error explains the email is already in use, with no duplicate account created.</t>
  </si>
  <si>
    <t>REG-03</t>
  </si>
  <si>
    <t>Registration validates email format</t>
  </si>
  <si>
    <t>1. Go to Register page.
2. Enter an invalid email (e.g. 'notanemail').
3. Attempt to submit.</t>
  </si>
  <si>
    <t>On Register page</t>
  </si>
  <si>
    <t>Email: 'notanemail'</t>
  </si>
  <si>
    <t>Form shows inline validation and blocks submission until a valid email format is entered.</t>
  </si>
  <si>
    <t>REG-04</t>
  </si>
  <si>
    <t>'Login here' link on Register page works</t>
  </si>
  <si>
    <t>1. On Register page, click 'Login here'.</t>
  </si>
  <si>
    <t>User is taken to the Login page.</t>
  </si>
  <si>
    <t>INC-01</t>
  </si>
  <si>
    <t>Incident Report</t>
  </si>
  <si>
    <t>Submit a valid incident report</t>
  </si>
  <si>
    <t>1. Go to Incident Report page.
2. Fill Reporter Name (optional), Incident Type, Location, Date, Time, and Details.
3. Click 'Submit Report'.</t>
  </si>
  <si>
    <t>On Incident Report page</t>
  </si>
  <si>
    <t>Type: Poor lighting; Location: Alexanderplatz; Date: today; Time: 20:30; Details: 'Street light not working near station exit'</t>
  </si>
  <si>
    <t>A success message/alert is shown, and the new report appears in the reports list below.</t>
  </si>
  <si>
    <t>INC-02</t>
  </si>
  <si>
    <t>Required fields are enforced (Incident Type, Date, Time, Details)</t>
  </si>
  <si>
    <t>1. Go to Incident Report page.
2. Leave 'Incident Type' empty.
3. Fill remaining fields and click 'Submit Report'.</t>
  </si>
  <si>
    <t>Details filled, Incident Type left blank</t>
  </si>
  <si>
    <t>Submission is blocked with a clear indication of which required field(s) are missing.</t>
  </si>
  <si>
    <t>INC-03</t>
  </si>
  <si>
    <t>Report can be submitted anonymously</t>
  </si>
  <si>
    <t>1. Go to Incident Report page.
2. Leave 'Reporter Name' blank.
3. Fill required fields and submit.</t>
  </si>
  <si>
    <t>Reporter Name left blank</t>
  </si>
  <si>
    <t>Report submits successfully without requiring a name; listed as anonymous.</t>
  </si>
  <si>
    <t>INC-04</t>
  </si>
  <si>
    <t>Location autocomplete works on Incident Report form</t>
  </si>
  <si>
    <t>1. Click into 'Location' field.
2. Type a partial address.
3. Select a suggestion from the dropdown.</t>
  </si>
  <si>
    <t>Type: 'Potsda'</t>
  </si>
  <si>
    <t>Matching suggestions appear and selecting one correctly fills the Location field.</t>
  </si>
  <si>
    <t>INC-05</t>
  </si>
  <si>
    <t>Time picker works correctly</t>
  </si>
  <si>
    <t>1. Click into the 'Time' field.
2. Use the time picker widget to select a time.</t>
  </si>
  <si>
    <t>Select any time, e.g. 21:15</t>
  </si>
  <si>
    <t>Time picker opens as an overlay, selected time populates the field accurately, and picker closes cleanly.</t>
  </si>
  <si>
    <t>Passed. Convenience: default the date field to today so reporters only need to set the time.</t>
  </si>
  <si>
    <t>INC-06</t>
  </si>
  <si>
    <t>Submitted reports list paginates correctly</t>
  </si>
  <si>
    <t>1. Go to Incident Report page.
2. Scroll to the reports list.
3. If more than one page exists, click through pagination controls.</t>
  </si>
  <si>
    <t>More reports exist than fit on one page</t>
  </si>
  <si>
    <t>Pagination correctly navigates between pages without errors or duplicate/missing entries.</t>
  </si>
  <si>
    <t>Passed. Nice to have: add a 'jump to page' input for long report lists instead of only next/previous.</t>
  </si>
  <si>
    <t>INC-07</t>
  </si>
  <si>
    <t>Empty state message shown when no reports exist</t>
  </si>
  <si>
    <t>1. View Incident Report page on an account/context with zero submitted reports.</t>
  </si>
  <si>
    <t>No reports exist yet</t>
  </si>
  <si>
    <t>An informative 'No reports submitted yet' style message is shown instead of a blank list.</t>
  </si>
  <si>
    <t>PROFILE-01</t>
  </si>
  <si>
    <t>Profile</t>
  </si>
  <si>
    <t>Profile displays correct account details</t>
  </si>
  <si>
    <t>1. Log in.
2. Go to Profile page.
3. Review First Name, Last Name, Email, Login Provider, Member Since.</t>
  </si>
  <si>
    <t>Logged in</t>
  </si>
  <si>
    <t>Logged-in test account</t>
  </si>
  <si>
    <t>All displayed fields match the account's actual registered details, with no placeholder or blank values.</t>
  </si>
  <si>
    <t>Passed. Nice to have: show 'Member since' as a relative time too (e.g. '3 months ago').</t>
  </si>
  <si>
    <t>PROFILE-02</t>
  </si>
  <si>
    <t>Delete account requires typing DELETE to confirm</t>
  </si>
  <si>
    <t>1. On Profile page, click 'Delete my account'.
2. In the confirmation dialog, leave the confirmation field empty or type something other than DELETE.</t>
  </si>
  <si>
    <t>Logged in, on Profile page</t>
  </si>
  <si>
    <t>Type: 'delete' (lowercase) or leave blank</t>
  </si>
  <si>
    <t>The 'Delete' confirm button stays disabled until the exact word DELETE is typed, preventing accidental deletion.</t>
  </si>
  <si>
    <t>PROFILE-03</t>
  </si>
  <si>
    <t>Cancel on delete-account dialog aborts safely</t>
  </si>
  <si>
    <t>1. Click 'Delete my account'.
2. In the dialog, click 'Cancel'.</t>
  </si>
  <si>
    <t>Dialog closes, account is untouched, user remains logged in on Profile page.</t>
  </si>
  <si>
    <t>CHAT-01</t>
  </si>
  <si>
    <t>AI Chat Assistant</t>
  </si>
  <si>
    <t>Chat widget loads on Home page</t>
  </si>
  <si>
    <t>1. Open Home page.
2. Locate the chat assistant widget.</t>
  </si>
  <si>
    <t>On Home page, page fully loaded</t>
  </si>
  <si>
    <t>Chat widget/icon loads within a reasonable time and does not block or overlap other key controls (search form, map).</t>
  </si>
  <si>
    <t>CHAT-02</t>
  </si>
  <si>
    <t>Chat assistant responds to a basic safety question</t>
  </si>
  <si>
    <t>1. Open the chat widget.
2. Ask a simple question, e.g. 'Is Alexanderplatz safe at night?'</t>
  </si>
  <si>
    <t>Chat widget is loaded</t>
  </si>
  <si>
    <t>Message: 'Is Alexanderplatz safe at night?'</t>
  </si>
  <si>
    <t>Assistant returns a relevant, readable response within a reasonable wait time (with a loading indicator while waiting).</t>
  </si>
  <si>
    <t>Passed. Convenience: a few suggested starter questions under the chat input would help first-time users.</t>
  </si>
  <si>
    <t>CHAT-03</t>
  </si>
  <si>
    <t>Chat widget can be minimised/closed and reopened</t>
  </si>
  <si>
    <t>1. Open the chat widget.
2. Close/minimise it.
3. Reopen it.</t>
  </si>
  <si>
    <t>Widget closes and reopens smoothly without losing the page state or breaking the layout.</t>
  </si>
  <si>
    <t>UX-01</t>
  </si>
  <si>
    <t>General UX</t>
  </si>
  <si>
    <t>Navigation drawer / menu is accessible from any page</t>
  </si>
  <si>
    <t>1. From Home, open the navigation drawer.
2. Navigate to each listed page (Home, Incident, Profile, etc.).</t>
  </si>
  <si>
    <t>App loaded</t>
  </si>
  <si>
    <t>Nav drawer opens consistently and every menu item routes to the correct page without a blank/broken screen.</t>
  </si>
  <si>
    <t>UX-02</t>
  </si>
  <si>
    <t>Error dialog appears for a failed network request</t>
  </si>
  <si>
    <t>1. Disconnect from the internet (or simulate a slow/failed connection).
2. Attempt a route search.</t>
  </si>
  <si>
    <t>Network is disabled or throttled</t>
  </si>
  <si>
    <t>A clear, non-technical error dialog is shown to the user (not a blank page or console-only error).</t>
  </si>
  <si>
    <t>UX-03</t>
  </si>
  <si>
    <t>App is usable on a mobile phone screen (responsive layout)</t>
  </si>
  <si>
    <t>1. Open the app on a mobile phone (or emulate ~375px width).
2. Perform a route search and view a route's details.</t>
  </si>
  <si>
    <t>Same route search as HOME-01</t>
  </si>
  <si>
    <t>Layout adapts cleanly: no overlapping text/buttons, all key actions remain reachable and tappable with one thumb.</t>
  </si>
  <si>
    <t>Passed. Nice to have: slightly larger tap target on the travel-mode toggle would help one-thumb use.</t>
  </si>
  <si>
    <t>UX-04</t>
  </si>
  <si>
    <t>App is usable on a tablet screen</t>
  </si>
  <si>
    <t>1. Open the app on a tablet (or emulate ~768-1024px width).
2. Navigate through Home, Route Details, and Incident Report.</t>
  </si>
  <si>
    <t>Layout uses the extra space sensibly (no huge empty gaps or cramped text) and remains fully functional.</t>
  </si>
  <si>
    <t>UX-05</t>
  </si>
  <si>
    <t>Text and buttons are legible and touch-friendly on mobile</t>
  </si>
  <si>
    <t>1. On a mobile device, review font sizes and button sizes across Home, Login, and Incident Report pages.</t>
  </si>
  <si>
    <t>Testing on mobile device</t>
  </si>
  <si>
    <t>Text is readable without zooming; buttons/links are large enough to tap accurately (no accidental mis-taps).</t>
  </si>
  <si>
    <t>UX-06</t>
  </si>
  <si>
    <t>Logout works and protects logged-in-only pages afterwards</t>
  </si>
  <si>
    <t>1. Log in.
2. Log out via profile/nav.
3. Attempt to directly open Route Details or Profile URL again.</t>
  </si>
  <si>
    <t>User is logged out cleanly, and attempting to access member-only pages afterwards redirects to Login instead of showing data.</t>
  </si>
  <si>
    <t>Passed. Convenience: a brief 'You have been logged out' toast would make the action feel more confirmed.</t>
  </si>
  <si>
    <t>UX-07</t>
  </si>
  <si>
    <t>Page load performance feels acceptable to the user</t>
  </si>
  <si>
    <t>1. Open https://safepath.duckdns.org/home on a normal home/mobile connection.
2. Time how long until the page is interactive.</t>
  </si>
  <si>
    <t>Home page becomes usable (map + search form ready) within a few seconds; a loading indicator is shown if it takes longer.</t>
  </si>
  <si>
    <t>UX-08</t>
  </si>
  <si>
    <t>Browser back/forward buttons behave predictably</t>
  </si>
  <si>
    <t>1. Navigate Home → search → Route Details → use browser Back button.
2. Use browser Forward button.</t>
  </si>
  <si>
    <t>Back/Forward move between the expected pages/states without breaking the app or losing critical context.</t>
  </si>
  <si>
    <t>UX-09</t>
  </si>
  <si>
    <t>Consistent branding and terminology across pages</t>
  </si>
  <si>
    <t>1. Browse through Home, Login, Register, Incident Report, and Profile pages.
2. Compare wording, icons, and colour scheme.</t>
  </si>
  <si>
    <t>'SafePath Berlin' branding, colour palette, and terminology (e.g. 'Safe Route') are consistent across all pages.</t>
  </si>
  <si>
    <t>UX-10</t>
  </si>
  <si>
    <t>Cross-browser check on a second major browser</t>
  </si>
  <si>
    <t>1. Repeat HOME-01 and LOGIN-01 on a second browser (e.g. Firefox if primary testing was on Chrome).</t>
  </si>
  <si>
    <t>Core flows (search, login) work the same way with no layout breakage on the second browser.</t>
  </si>
  <si>
    <t>ADM-01</t>
  </si>
  <si>
    <t>Admin Access</t>
  </si>
  <si>
    <t>Non-admin user cannot open the Admin Dashboard</t>
  </si>
  <si>
    <t>1. Log in with a regular (non-admin) account.
2. Manually browse to /overview.</t>
  </si>
  <si>
    <t>Logged in as a standard user (role: Member)</t>
  </si>
  <si>
    <t>Standard user account</t>
  </si>
  <si>
    <t>User is redirected away (e.g. to Home) and never sees Admin Dashboard content; no data leaks in the process.</t>
  </si>
  <si>
    <t>Passed. Nice to have: log the blocked access attempt itself as a security event for admins to review later.</t>
  </si>
  <si>
    <t>ADM-02</t>
  </si>
  <si>
    <t>Admin user can access the Admin Dashboard from the nav menu</t>
  </si>
  <si>
    <t>1. Log in with an admin account.
2. Open the nav drawer.
3. Click 'Dashboard'.</t>
  </si>
  <si>
    <t>Logged in as Admin</t>
  </si>
  <si>
    <t>Admin test account</t>
  </si>
  <si>
    <t>'Dashboard' item is visible in the nav and opens the Admin Dashboard with all 5 tabs (Overview, Search Logs, Incident Logs, User Management, Login Logs).</t>
  </si>
  <si>
    <t>Passed. Convenience: a pinned shortcut or keyboard shortcut straight to Dashboard would save a few clicks.</t>
  </si>
  <si>
    <t>ADM-03</t>
  </si>
  <si>
    <t>Guest (not logged in) is redirected when opening /overview directly</t>
  </si>
  <si>
    <t>1. Without logging in, browse directly to https://safepath.duckdns.org/overview.</t>
  </si>
  <si>
    <t>Not logged in</t>
  </si>
  <si>
    <t>User is redirected to Login instead of any admin content being shown.</t>
  </si>
  <si>
    <t>ADM-04</t>
  </si>
  <si>
    <t>Switching between dashboard tabs is smooth and preserves each tab's state</t>
  </si>
  <si>
    <t>1. Log in as Admin.
2. Open each tab in turn: Overview, Search Logs, Incident Logs, User Management, Login Logs.
3. Return to a previously visited tab.</t>
  </si>
  <si>
    <t>Logged in as Admin, on Dashboard</t>
  </si>
  <si>
    <t>Each tab loads its own content correctly; returning to a tab does not require a full page reload or lose filters entered earlier.</t>
  </si>
  <si>
    <t>Passed. Nice to have: show a small 'last refreshed' timestamp on each tab so admins know how fresh the data is.</t>
  </si>
  <si>
    <t>ADM-05</t>
  </si>
  <si>
    <t>Admin - Overview</t>
  </si>
  <si>
    <t>Overview stat cards show accurate summary numbers</t>
  </si>
  <si>
    <t>1. Go to Dashboard &gt; Overview tab.
2. Review the stat cards (e.g. totals with trend chips) at the top.</t>
  </si>
  <si>
    <t>Stat cards load without errors and values look consistent with what's in Search Logs / Incident Logs (spot-check one).</t>
  </si>
  <si>
    <t>Passed. Convenience: let admins pick the stat-card date range (7/30/90 days) instead of a fixed window.</t>
  </si>
  <si>
    <t>ADM-06</t>
  </si>
  <si>
    <t>'Most Searched Places' list reflects real search activity</t>
  </si>
  <si>
    <t>1. As a regular user, search for the same destination 3 times.
2. Log in as Admin and check Overview &gt; Most Searched Places.</t>
  </si>
  <si>
    <t>Logged in as Admin; some searches exist</t>
  </si>
  <si>
    <t>Repeat search e.g. 'Brandenburg Gate' x3</t>
  </si>
  <si>
    <t>The searched place appears in the list with an updated count and proportional progress bar.</t>
  </si>
  <si>
    <t>Passed. Nice to have: clicking a place in the list could pre-fill it into a new search for a quick spot-check.</t>
  </si>
  <si>
    <t>ADM-07</t>
  </si>
  <si>
    <t>'Most Incident Report Places' filters correctly by incident type</t>
  </si>
  <si>
    <t>1. Go to Overview tab.
2. In 'Most Incident Report Places', click one or more incident type chips (e.g. 'Poor lighting').
3. Observe the list update.</t>
  </si>
  <si>
    <t>Logged in as Admin; incident reports exist</t>
  </si>
  <si>
    <t>Select 1-2 incident type filters</t>
  </si>
  <si>
    <t>List updates to only reflect reports matching the selected type(s); 'Most common' label hides correctly when only one type is selected.</t>
  </si>
  <si>
    <t>Passed. Convenience: a 'select all types' toggle above the incident-type chips would reset filters faster.</t>
  </si>
  <si>
    <t>ADM-08</t>
  </si>
  <si>
    <t>Overview handles the empty-data state gracefully</t>
  </si>
  <si>
    <t>1. View Overview tab on a fresh environment/test account with no search or incident history.</t>
  </si>
  <si>
    <t>No search/incident data exists yet</t>
  </si>
  <si>
    <t>Friendly empty-state messages ('No route searches yet.' / 'No incident reports yet.') are shown instead of blank cards or errors.</t>
  </si>
  <si>
    <t>ADM-09</t>
  </si>
  <si>
    <t>Admin - Search Logs</t>
  </si>
  <si>
    <t>Search logs table lists route searches with safety score and status</t>
  </si>
  <si>
    <t>1. Go to Dashboard &gt; Search Logs tab.
2. Review the table rows.</t>
  </si>
  <si>
    <t>Logged in as Admin; search history exists</t>
  </si>
  <si>
    <t>Table shows user (name/email or 'Guest'), safety score chip (colour-coded by risk level), and status chip per row.</t>
  </si>
  <si>
    <t>Passed. Nice to have: allow sorting the table by safety score to spot risky searches more quickly.</t>
  </si>
  <si>
    <t>ADM-10</t>
  </si>
  <si>
    <t>Filter search logs by keyword</t>
  </si>
  <si>
    <t>1. On Search Logs tab, type a keyword (e.g. a place name or user email) into 'Filter search logs'.</t>
  </si>
  <si>
    <t>Keyword: a known place name</t>
  </si>
  <si>
    <t>Table updates live to show only matching rows; clearing the filter restores the full list.</t>
  </si>
  <si>
    <t>Passed. Convenience: remember the last-used filter keyword when the admin returns to this tab.</t>
  </si>
  <si>
    <t>ADM-11</t>
  </si>
  <si>
    <t>Refresh button reloads latest search logs</t>
  </si>
  <si>
    <t>1. On Search Logs tab, perform a new route search in another session/tab as a regular user.
2. Back in Admin, click the refresh icon.</t>
  </si>
  <si>
    <t>A loading state briefly shows, then the new search log entry appears without a full page reload.</t>
  </si>
  <si>
    <t>Passed. Nice to have: show a small spinner directly on the refresh icon while reloading.</t>
  </si>
  <si>
    <t>ADM-12</t>
  </si>
  <si>
    <t>Guest searches are labelled clearly and don't expose a fake identity</t>
  </si>
  <si>
    <t>1. As a guest, perform a route search without logging in.
2. In Admin &gt; Search Logs, find that row.</t>
  </si>
  <si>
    <t>A guest (non-logged-in) search was just performed</t>
  </si>
  <si>
    <t>Row shows 'Guest' rather than a blank, broken, or misleading user name/email.</t>
  </si>
  <si>
    <t>ADM-13</t>
  </si>
  <si>
    <t>Admin - Incident Logs</t>
  </si>
  <si>
    <t>Incident logs table lists all submitted reports with type chips</t>
  </si>
  <si>
    <t>1. Go to Dashboard &gt; Incident Logs tab.
2. Review the table.</t>
  </si>
  <si>
    <t>Each row shows a colour-coded incident type chip; table loads without errors.</t>
  </si>
  <si>
    <t>Passed. Nice to have: light row colour-coding by incident type would make the list easier to scan.</t>
  </si>
  <si>
    <t>ADM-14</t>
  </si>
  <si>
    <t>View incident detail via the eye icon</t>
  </si>
  <si>
    <t>1. On Incident Logs tab, click the eye/view icon on a report row.</t>
  </si>
  <si>
    <t>Logged in as Admin; at least one incident exists</t>
  </si>
  <si>
    <t>A modal opens showing full report detail (type, location, date/time, details, reporter) that matches what was submitted.</t>
  </si>
  <si>
    <t>Passed. Convenience: 'previous / next report' buttons inside the modal would help review reports without closing each time.</t>
  </si>
  <si>
    <t>ADM-15</t>
  </si>
  <si>
    <t>Close button on incident detail modal works</t>
  </si>
  <si>
    <t>1. Open an incident detail modal.
2. Click the close (X) icon.</t>
  </si>
  <si>
    <t>Incident detail modal is open</t>
  </si>
  <si>
    <t>Modal closes cleanly and returns to the Incident Logs table without page reload.</t>
  </si>
  <si>
    <t>ADM-16</t>
  </si>
  <si>
    <t>Filter incident logs by keyword</t>
  </si>
  <si>
    <t>1. On Incident Logs tab, type a keyword (e.g. location name) into 'Filter incident logs'.</t>
  </si>
  <si>
    <t>Keyword: a known location</t>
  </si>
  <si>
    <t>Table filters live to matching rows only; clearing the filter restores full list.</t>
  </si>
  <si>
    <t>Passed. Convenience: allow filtering by date range in addition to keyword.</t>
  </si>
  <si>
    <t>ADM-17</t>
  </si>
  <si>
    <t>Admin - User Management</t>
  </si>
  <si>
    <t>User list loads with pagination (server-side)</t>
  </si>
  <si>
    <t>1. Go to Dashboard &gt; User Management tab.
2. Scroll/paginate through the user table.</t>
  </si>
  <si>
    <t>Logged in as Admin; more than one page of users exists</t>
  </si>
  <si>
    <t>Users load per page correctly, matching the total user count shown, with no duplicate or missing rows across pages.</t>
  </si>
  <si>
    <t>Passed. Nice to have: let the admin choose rows-per-page (10/25/50) instead of a fixed page size.</t>
  </si>
  <si>
    <t>ADM-18</t>
  </si>
  <si>
    <t>Search users by name or email</t>
  </si>
  <si>
    <t>1. On User Management tab, type into 'Search by name or email'.</t>
  </si>
  <si>
    <t>Logged in as Admin; multiple users exist</t>
  </si>
  <si>
    <t>A known user's name or partial email</t>
  </si>
  <si>
    <t>Table filters to matching users only; search is case-insensitive and works for partial matches.</t>
  </si>
  <si>
    <t>Passed. Convenience: search-as-you-type felt slightly slow on a large user list; a short debounce delay would feel smoother.</t>
  </si>
  <si>
    <t>ADM-19</t>
  </si>
  <si>
    <t>Add a new user via the 'Add User' dialog</t>
  </si>
  <si>
    <t>1. Click the add-user button.
2. Fill Name, Email, and Role.
3. Click 'Save User'.</t>
  </si>
  <si>
    <t>Name: QA Test User, Email: qatest@safepath.com, Role: Member</t>
  </si>
  <si>
    <t>New user is created, a success confirmation (snackbar) appears, and the user shows up in the table without a manual refresh.</t>
  </si>
  <si>
    <t>Passed. Nice to have: auto-suggest a temporary password so admins do not have to think one up.</t>
  </si>
  <si>
    <t>ADM-20</t>
  </si>
  <si>
    <t>Edit an existing user's role</t>
  </si>
  <si>
    <t>1. Click the edit (pencil) icon on a user row.
2. Change Role from 'Member' to 'Admin'.
3. Click 'Save User'.</t>
  </si>
  <si>
    <t>Logged in as Admin; a non-admin test user exists</t>
  </si>
  <si>
    <t>Role change: Member → Admin</t>
  </si>
  <si>
    <t>Change is saved, table reflects the new role immediately, and a confirmation is shown.</t>
  </si>
  <si>
    <t>Passed. Convenience: show a short confirmation summary (e.g. 'Role changed from Member to Admin') in the success message.</t>
  </si>
  <si>
    <t>ADM-21</t>
  </si>
  <si>
    <t>Delete a user requires confirmation</t>
  </si>
  <si>
    <t>1. Click the delete (trash) icon on a user row.
2. Review the confirmation dialog.
3. Click 'Cancel' first, then repeat and click confirm delete.</t>
  </si>
  <si>
    <t>Logged in as Admin; a disposable test user exists</t>
  </si>
  <si>
    <t>A test user created for this scenario</t>
  </si>
  <si>
    <t>Cancel aborts safely with no change; confirming removes the user from the table and shows a success snackbar.</t>
  </si>
  <si>
    <t>Passed. Nice to have: show the user's name inside the delete-confirmation dialog to avoid removing the wrong row by mistake.</t>
  </si>
  <si>
    <t>ADM-22</t>
  </si>
  <si>
    <t>Admin cannot accidentally lock themselves out (self role-change safeguard)</t>
  </si>
  <si>
    <t>1. Log in as the only Admin account.
2. Try to edit your own user and change Role from Admin to Member, or delete your own account.</t>
  </si>
  <si>
    <t>Logged in as the sole Admin</t>
  </si>
  <si>
    <t>Self account</t>
  </si>
  <si>
    <t>App either blocks this action with a warning, or clearly confirms the consequence before allowing it, avoiding an accidental total lockout.</t>
  </si>
  <si>
    <t>Passed. Convenience: a clearer warning banner (not only a dialog) when editing your own account would add extra safety.</t>
  </si>
  <si>
    <t>ADM-23</t>
  </si>
  <si>
    <t>Save User validates required fields</t>
  </si>
  <si>
    <t>1. Click 'Add User'.
2. Leave Name or Email blank.
3. Click 'Save User'.</t>
  </si>
  <si>
    <t>Email left blank</t>
  </si>
  <si>
    <t>Form blocks submission and indicates the missing required field(s) rather than saving an incomplete user.</t>
  </si>
  <si>
    <t>ADM-24</t>
  </si>
  <si>
    <t>Admin - Login Logs</t>
  </si>
  <si>
    <t>Login logs list shows success and failed attempts with clear status</t>
  </si>
  <si>
    <t>1. Go to Dashboard &gt; Login Logs tab.
2. Review table rows for both successful and failed attempts.</t>
  </si>
  <si>
    <t>Logged in as Admin; login history includes at least one failed attempt</t>
  </si>
  <si>
    <t>Successful logins show a green 'Success' style chip; failed attempts show a red/error chip, clearly distinguishable at a glance.</t>
  </si>
  <si>
    <t>Passed. Nice to have: a small map icon or tooltip showing the approximate location of a login attempt.</t>
  </si>
  <si>
    <t>ADM-25</t>
  </si>
  <si>
    <t>Filter login events by keyword</t>
  </si>
  <si>
    <t>1. On Login Logs tab, type into 'Filter login events' (e.g. a user email).</t>
  </si>
  <si>
    <t>Logged in as Admin; login history exists</t>
  </si>
  <si>
    <t>A known user's email</t>
  </si>
  <si>
    <t>Table filters live to matching rows; clearing the filter restores the full list.</t>
  </si>
  <si>
    <t>Passed. Convenience: a quick success/failed status toggle would help alongside the existing free-text search.</t>
  </si>
  <si>
    <t>ADM-26</t>
  </si>
  <si>
    <t>Refresh reloads the latest login events</t>
  </si>
  <si>
    <t>1. In another session, log in/out as a test user to generate a new event.
2. Back in Admin &gt; Login Logs, click refresh.</t>
  </si>
  <si>
    <t>New login event appears in the table after refresh without a full page reload.</t>
  </si>
  <si>
    <t>ADM-27</t>
  </si>
  <si>
    <t>Admin - General UX</t>
  </si>
  <si>
    <t>Admin Dashboard is usable on a tablet screen</t>
  </si>
  <si>
    <t>1. Open Admin Dashboard on a tablet (or emulate ~768-1024px width).
2. Navigate through all 5 tabs and open a data table row action.</t>
  </si>
  <si>
    <t>Logged in as Admin, tablet viewport</t>
  </si>
  <si>
    <t>Tabs, tables, and dialogs remain usable — tables scroll horizontally if needed rather than breaking the layout.</t>
  </si>
  <si>
    <t>Passed. Nice to have: sticky tab headers when scrolling long tables on tablet would help keep orientation.</t>
  </si>
  <si>
    <t>ADM-28</t>
  </si>
  <si>
    <t>Loading and error states are clear across all admin tables</t>
  </si>
  <si>
    <t>1. Throttle/disable network.
2. Open each tab (Search Logs, Incident Logs, User Management, Login Logs) and observe loading/error handling.</t>
  </si>
  <si>
    <t>Logged in as Admin, network throttled or disabled</t>
  </si>
  <si>
    <t>Each table shows a loading indicator while fetching and a readable error alert if the fetch fails, never a silently blank table.</t>
  </si>
  <si>
    <t>Passed. Convenience: a small 'reconnected' toast once the network returns would reassure admins during outages.</t>
  </si>
  <si>
    <t>SafePath Berlin – UAT Summary</t>
  </si>
  <si>
    <t>Total Scenarios (User + Admin)</t>
  </si>
  <si>
    <t>Passed</t>
  </si>
  <si>
    <t>Failed</t>
  </si>
  <si>
    <t>Blocked</t>
  </si>
  <si>
    <t>Not Executed</t>
  </si>
  <si>
    <t>Pass Rate</t>
  </si>
  <si>
    <t>By Module – User</t>
  </si>
  <si>
    <t># Scenarios</t>
  </si>
  <si>
    <t>By Module – Admin</t>
  </si>
  <si>
    <t>Desktop - Chrome
Tablet - iPadOS Safar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</si>
</sst>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sz val="12"/>
      <color rgb="FF595959"/>
      <name val="Arial"/>
      <charset val="1"/>
    </font>
    <font>
      <b/>
      <sz val="13"/>
      <color rgb="FF0E7C7B"/>
      <name val="Arial"/>
      <charset val="1"/>
    </font>
    <font>
      <sz val="11"/>
      <color rgb="FF000000"/>
      <name val="Arial"/>
      <charset val="1"/>
    </font>
    <font>
      <sz val="11"/>
      <name val="Arial"/>
      <charset val="1"/>
    </font>
    <font>
      <sz val="10"/>
      <color rgb="FF7F6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6"/>
      <color rgb="FF1F3864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0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1" fillId="0" borderId="0" xfId="0" applyFont="1"/>
    <xf numFmtId="0" fontId="5" fillId="0" borderId="0" xfId="0" applyFont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164" fontId="5" fillId="0" borderId="0" xfId="0" applyNumberFormat="1" applyFont="1"/>
    <xf numFmtId="0" fontId="3" fillId="0" borderId="0" xfId="0" applyFont="1"/>
    <xf numFmtId="0" fontId="1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8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E7C7B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3"/>
  <sheetViews>
    <sheetView showGridLines="0" topLeftCell="A19" zoomScaleNormal="100" workbookViewId="0"/>
  </sheetViews>
  <sheetFormatPr baseColWidth="10" defaultColWidth="8.6640625" defaultRowHeight="15" x14ac:dyDescent="0.2"/>
  <cols>
    <col min="1" max="1" width="3" customWidth="1"/>
    <col min="2" max="2" width="100" customWidth="1"/>
  </cols>
  <sheetData>
    <row r="2" spans="2:2" ht="23" x14ac:dyDescent="0.25">
      <c r="B2" s="2" t="s">
        <v>0</v>
      </c>
    </row>
    <row r="3" spans="2:2" ht="17" x14ac:dyDescent="0.2">
      <c r="B3" s="3" t="s">
        <v>1</v>
      </c>
    </row>
    <row r="5" spans="2:2" ht="18" x14ac:dyDescent="0.2">
      <c r="B5" s="4" t="s">
        <v>2</v>
      </c>
    </row>
    <row r="6" spans="2:2" ht="75" customHeight="1" x14ac:dyDescent="0.2">
      <c r="B6" s="5" t="s">
        <v>3</v>
      </c>
    </row>
    <row r="8" spans="2:2" ht="18" x14ac:dyDescent="0.2">
      <c r="B8" s="4" t="s">
        <v>4</v>
      </c>
    </row>
    <row r="9" spans="2:2" x14ac:dyDescent="0.2">
      <c r="B9" s="5" t="s">
        <v>5</v>
      </c>
    </row>
    <row r="10" spans="2:2" x14ac:dyDescent="0.2">
      <c r="B10" s="5" t="s">
        <v>6</v>
      </c>
    </row>
    <row r="11" spans="2:2" x14ac:dyDescent="0.2">
      <c r="B11" s="5" t="s">
        <v>7</v>
      </c>
    </row>
    <row r="12" spans="2:2" x14ac:dyDescent="0.2">
      <c r="B12" s="5" t="s">
        <v>8</v>
      </c>
    </row>
    <row r="13" spans="2:2" x14ac:dyDescent="0.2">
      <c r="B13" s="5" t="s">
        <v>9</v>
      </c>
    </row>
    <row r="14" spans="2:2" x14ac:dyDescent="0.2">
      <c r="B14" s="5" t="s">
        <v>10</v>
      </c>
    </row>
    <row r="15" spans="2:2" x14ac:dyDescent="0.2">
      <c r="B15" s="5" t="s">
        <v>11</v>
      </c>
    </row>
    <row r="17" spans="2:2" ht="18" x14ac:dyDescent="0.2">
      <c r="B17" s="4" t="s">
        <v>12</v>
      </c>
    </row>
    <row r="18" spans="2:2" x14ac:dyDescent="0.2">
      <c r="B18" s="6" t="s">
        <v>13</v>
      </c>
    </row>
    <row r="19" spans="2:2" x14ac:dyDescent="0.2">
      <c r="B19" s="6" t="s">
        <v>14</v>
      </c>
    </row>
    <row r="20" spans="2:2" x14ac:dyDescent="0.2">
      <c r="B20" s="6" t="s">
        <v>15</v>
      </c>
    </row>
    <row r="21" spans="2:2" x14ac:dyDescent="0.2">
      <c r="B21" s="6" t="s">
        <v>16</v>
      </c>
    </row>
    <row r="22" spans="2:2" x14ac:dyDescent="0.2">
      <c r="B22" s="6" t="s">
        <v>17</v>
      </c>
    </row>
    <row r="23" spans="2:2" x14ac:dyDescent="0.2">
      <c r="B23" s="6" t="s">
        <v>18</v>
      </c>
    </row>
    <row r="24" spans="2:2" x14ac:dyDescent="0.2">
      <c r="B24" s="6" t="s">
        <v>19</v>
      </c>
    </row>
    <row r="25" spans="2:2" x14ac:dyDescent="0.2">
      <c r="B25" s="6" t="s">
        <v>20</v>
      </c>
    </row>
    <row r="26" spans="2:2" x14ac:dyDescent="0.2">
      <c r="B26" s="6" t="s">
        <v>21</v>
      </c>
    </row>
    <row r="27" spans="2:2" x14ac:dyDescent="0.2">
      <c r="B27" s="6" t="s">
        <v>22</v>
      </c>
    </row>
    <row r="28" spans="2:2" x14ac:dyDescent="0.2">
      <c r="B28" s="6" t="s">
        <v>23</v>
      </c>
    </row>
    <row r="29" spans="2:2" x14ac:dyDescent="0.2">
      <c r="B29" s="6" t="s">
        <v>24</v>
      </c>
    </row>
    <row r="30" spans="2:2" x14ac:dyDescent="0.2">
      <c r="B30" s="6" t="s">
        <v>25</v>
      </c>
    </row>
    <row r="31" spans="2:2" x14ac:dyDescent="0.2">
      <c r="B31" s="6" t="s">
        <v>26</v>
      </c>
    </row>
    <row r="33" spans="2:2" ht="30" customHeight="1" x14ac:dyDescent="0.2">
      <c r="B33" s="7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showGridLines="0" topLeftCell="D1" zoomScaleNormal="100" workbookViewId="0">
      <pane ySplit="1" topLeftCell="A43" activePane="bottomLeft" state="frozen"/>
      <selection pane="bottomLeft" activeCell="H46" sqref="H46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26" customWidth="1"/>
    <col min="4" max="4" width="42" customWidth="1"/>
    <col min="5" max="6" width="22" customWidth="1"/>
    <col min="7" max="7" width="34" customWidth="1"/>
    <col min="8" max="8" width="20" customWidth="1"/>
    <col min="9" max="9" width="26" customWidth="1"/>
    <col min="10" max="10" width="12" customWidth="1"/>
    <col min="11" max="11" width="10" customWidth="1"/>
    <col min="12" max="12" width="14" customWidth="1"/>
    <col min="13" max="13" width="12" customWidth="1"/>
    <col min="14" max="14" width="26" customWidth="1"/>
  </cols>
  <sheetData>
    <row r="1" spans="1:14" ht="30" customHeight="1" x14ac:dyDescent="0.2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</row>
    <row r="2" spans="1:14" ht="60" customHeight="1" x14ac:dyDescent="0.2">
      <c r="A2" s="9" t="s">
        <v>42</v>
      </c>
      <c r="B2" s="10" t="s">
        <v>43</v>
      </c>
      <c r="C2" s="10" t="s">
        <v>44</v>
      </c>
      <c r="D2" s="10" t="s">
        <v>45</v>
      </c>
      <c r="E2" s="10" t="s">
        <v>46</v>
      </c>
      <c r="F2" s="10" t="s">
        <v>47</v>
      </c>
      <c r="G2" s="10" t="s">
        <v>48</v>
      </c>
      <c r="H2" s="21" t="s">
        <v>481</v>
      </c>
      <c r="I2" s="10" t="s">
        <v>49</v>
      </c>
      <c r="J2" s="10" t="s">
        <v>50</v>
      </c>
      <c r="K2" s="10" t="s">
        <v>51</v>
      </c>
      <c r="L2" s="10" t="s">
        <v>52</v>
      </c>
      <c r="M2" s="10" t="s">
        <v>53</v>
      </c>
      <c r="N2" s="10" t="s">
        <v>54</v>
      </c>
    </row>
    <row r="3" spans="1:14" ht="60" customHeight="1" x14ac:dyDescent="0.2">
      <c r="A3" s="11" t="s">
        <v>55</v>
      </c>
      <c r="B3" s="12" t="s">
        <v>43</v>
      </c>
      <c r="C3" s="12" t="s">
        <v>56</v>
      </c>
      <c r="D3" s="12" t="s">
        <v>57</v>
      </c>
      <c r="E3" s="12" t="s">
        <v>58</v>
      </c>
      <c r="F3" s="12" t="s">
        <v>59</v>
      </c>
      <c r="G3" s="12" t="s">
        <v>60</v>
      </c>
      <c r="H3" s="21" t="s">
        <v>481</v>
      </c>
      <c r="I3" s="12" t="s">
        <v>49</v>
      </c>
      <c r="J3" s="12" t="s">
        <v>50</v>
      </c>
      <c r="K3" s="12" t="s">
        <v>61</v>
      </c>
      <c r="L3" s="12" t="s">
        <v>52</v>
      </c>
      <c r="M3" s="12" t="s">
        <v>53</v>
      </c>
      <c r="N3" s="12" t="s">
        <v>62</v>
      </c>
    </row>
    <row r="4" spans="1:14" ht="60" customHeight="1" x14ac:dyDescent="0.2">
      <c r="A4" s="9" t="s">
        <v>63</v>
      </c>
      <c r="B4" s="10" t="s">
        <v>43</v>
      </c>
      <c r="C4" s="10" t="s">
        <v>64</v>
      </c>
      <c r="D4" s="10" t="s">
        <v>65</v>
      </c>
      <c r="E4" s="10" t="s">
        <v>58</v>
      </c>
      <c r="F4" s="10" t="s">
        <v>66</v>
      </c>
      <c r="G4" s="10" t="s">
        <v>67</v>
      </c>
      <c r="H4" s="21" t="s">
        <v>481</v>
      </c>
      <c r="I4" s="10" t="s">
        <v>49</v>
      </c>
      <c r="J4" s="10" t="s">
        <v>50</v>
      </c>
      <c r="K4" s="10" t="s">
        <v>61</v>
      </c>
      <c r="L4" s="10" t="s">
        <v>52</v>
      </c>
      <c r="M4" s="10" t="s">
        <v>53</v>
      </c>
      <c r="N4" s="10" t="s">
        <v>68</v>
      </c>
    </row>
    <row r="5" spans="1:14" ht="60" customHeight="1" x14ac:dyDescent="0.2">
      <c r="A5" s="11" t="s">
        <v>69</v>
      </c>
      <c r="B5" s="12" t="s">
        <v>43</v>
      </c>
      <c r="C5" s="12" t="s">
        <v>70</v>
      </c>
      <c r="D5" s="12" t="s">
        <v>71</v>
      </c>
      <c r="E5" s="12" t="s">
        <v>72</v>
      </c>
      <c r="F5" s="12" t="s">
        <v>73</v>
      </c>
      <c r="G5" s="12" t="s">
        <v>74</v>
      </c>
      <c r="H5" s="21" t="s">
        <v>481</v>
      </c>
      <c r="I5" s="12" t="s">
        <v>49</v>
      </c>
      <c r="J5" s="12" t="s">
        <v>50</v>
      </c>
      <c r="K5" s="12" t="s">
        <v>75</v>
      </c>
      <c r="L5" s="12" t="s">
        <v>52</v>
      </c>
      <c r="M5" s="12" t="s">
        <v>53</v>
      </c>
      <c r="N5" s="12" t="s">
        <v>54</v>
      </c>
    </row>
    <row r="6" spans="1:14" ht="60" customHeight="1" x14ac:dyDescent="0.2">
      <c r="A6" s="9" t="s">
        <v>76</v>
      </c>
      <c r="B6" s="10" t="s">
        <v>43</v>
      </c>
      <c r="C6" s="10" t="s">
        <v>77</v>
      </c>
      <c r="D6" s="10" t="s">
        <v>78</v>
      </c>
      <c r="E6" s="10" t="s">
        <v>58</v>
      </c>
      <c r="F6" s="10" t="s">
        <v>79</v>
      </c>
      <c r="G6" s="10" t="s">
        <v>80</v>
      </c>
      <c r="H6" s="21" t="s">
        <v>481</v>
      </c>
      <c r="I6" s="10" t="s">
        <v>49</v>
      </c>
      <c r="J6" s="10" t="s">
        <v>50</v>
      </c>
      <c r="K6" s="10" t="s">
        <v>51</v>
      </c>
      <c r="L6" s="10" t="s">
        <v>52</v>
      </c>
      <c r="M6" s="10" t="s">
        <v>53</v>
      </c>
      <c r="N6" s="10" t="s">
        <v>54</v>
      </c>
    </row>
    <row r="7" spans="1:14" ht="60" customHeight="1" x14ac:dyDescent="0.2">
      <c r="A7" s="11" t="s">
        <v>81</v>
      </c>
      <c r="B7" s="12" t="s">
        <v>43</v>
      </c>
      <c r="C7" s="12" t="s">
        <v>82</v>
      </c>
      <c r="D7" s="12" t="s">
        <v>83</v>
      </c>
      <c r="E7" s="12" t="s">
        <v>58</v>
      </c>
      <c r="F7" s="12" t="s">
        <v>84</v>
      </c>
      <c r="G7" s="12" t="s">
        <v>85</v>
      </c>
      <c r="H7" s="21" t="s">
        <v>481</v>
      </c>
      <c r="I7" s="12" t="s">
        <v>49</v>
      </c>
      <c r="J7" s="12" t="s">
        <v>50</v>
      </c>
      <c r="K7" s="12" t="s">
        <v>61</v>
      </c>
      <c r="L7" s="12" t="s">
        <v>52</v>
      </c>
      <c r="M7" s="12" t="s">
        <v>53</v>
      </c>
      <c r="N7" s="12" t="s">
        <v>54</v>
      </c>
    </row>
    <row r="8" spans="1:14" ht="60" customHeight="1" x14ac:dyDescent="0.2">
      <c r="A8" s="9" t="s">
        <v>86</v>
      </c>
      <c r="B8" s="10" t="s">
        <v>43</v>
      </c>
      <c r="C8" s="10" t="s">
        <v>87</v>
      </c>
      <c r="D8" s="10" t="s">
        <v>88</v>
      </c>
      <c r="E8" s="10" t="s">
        <v>89</v>
      </c>
      <c r="F8" s="10" t="s">
        <v>90</v>
      </c>
      <c r="G8" s="10" t="s">
        <v>91</v>
      </c>
      <c r="H8" s="21" t="s">
        <v>481</v>
      </c>
      <c r="I8" s="10" t="s">
        <v>49</v>
      </c>
      <c r="J8" s="10" t="s">
        <v>50</v>
      </c>
      <c r="K8" s="10" t="s">
        <v>51</v>
      </c>
      <c r="L8" s="10" t="s">
        <v>52</v>
      </c>
      <c r="M8" s="10" t="s">
        <v>53</v>
      </c>
      <c r="N8" s="10" t="s">
        <v>92</v>
      </c>
    </row>
    <row r="9" spans="1:14" ht="60" customHeight="1" x14ac:dyDescent="0.2">
      <c r="A9" s="11" t="s">
        <v>93</v>
      </c>
      <c r="B9" s="12" t="s">
        <v>43</v>
      </c>
      <c r="C9" s="12" t="s">
        <v>94</v>
      </c>
      <c r="D9" s="12" t="s">
        <v>95</v>
      </c>
      <c r="E9" s="12" t="s">
        <v>89</v>
      </c>
      <c r="F9" s="12" t="s">
        <v>90</v>
      </c>
      <c r="G9" s="12" t="s">
        <v>96</v>
      </c>
      <c r="H9" s="21" t="s">
        <v>481</v>
      </c>
      <c r="I9" s="12" t="s">
        <v>49</v>
      </c>
      <c r="J9" s="12" t="s">
        <v>50</v>
      </c>
      <c r="K9" s="12" t="s">
        <v>61</v>
      </c>
      <c r="L9" s="12" t="s">
        <v>52</v>
      </c>
      <c r="M9" s="12" t="s">
        <v>53</v>
      </c>
      <c r="N9" s="12" t="s">
        <v>54</v>
      </c>
    </row>
    <row r="10" spans="1:14" ht="60" customHeight="1" x14ac:dyDescent="0.2">
      <c r="A10" s="9" t="s">
        <v>97</v>
      </c>
      <c r="B10" s="10" t="s">
        <v>43</v>
      </c>
      <c r="C10" s="10" t="s">
        <v>98</v>
      </c>
      <c r="D10" s="10" t="s">
        <v>99</v>
      </c>
      <c r="E10" s="10" t="s">
        <v>100</v>
      </c>
      <c r="F10" s="10" t="s">
        <v>101</v>
      </c>
      <c r="G10" s="10" t="s">
        <v>102</v>
      </c>
      <c r="H10" s="21" t="s">
        <v>481</v>
      </c>
      <c r="I10" s="10" t="s">
        <v>49</v>
      </c>
      <c r="J10" s="10" t="s">
        <v>50</v>
      </c>
      <c r="K10" s="10" t="s">
        <v>51</v>
      </c>
      <c r="L10" s="10" t="s">
        <v>52</v>
      </c>
      <c r="M10" s="10" t="s">
        <v>53</v>
      </c>
      <c r="N10" s="10" t="s">
        <v>54</v>
      </c>
    </row>
    <row r="11" spans="1:14" ht="60" customHeight="1" x14ac:dyDescent="0.2">
      <c r="A11" s="11" t="s">
        <v>103</v>
      </c>
      <c r="B11" s="12" t="s">
        <v>43</v>
      </c>
      <c r="C11" s="12" t="s">
        <v>104</v>
      </c>
      <c r="D11" s="12" t="s">
        <v>105</v>
      </c>
      <c r="E11" s="12" t="s">
        <v>106</v>
      </c>
      <c r="F11" s="12" t="s">
        <v>101</v>
      </c>
      <c r="G11" s="12" t="s">
        <v>107</v>
      </c>
      <c r="H11" s="21" t="s">
        <v>481</v>
      </c>
      <c r="I11" s="12" t="s">
        <v>49</v>
      </c>
      <c r="J11" s="12" t="s">
        <v>50</v>
      </c>
      <c r="K11" s="12" t="s">
        <v>51</v>
      </c>
      <c r="L11" s="12" t="s">
        <v>52</v>
      </c>
      <c r="M11" s="12" t="s">
        <v>53</v>
      </c>
      <c r="N11" s="12" t="s">
        <v>54</v>
      </c>
    </row>
    <row r="12" spans="1:14" ht="60" customHeight="1" x14ac:dyDescent="0.2">
      <c r="A12" s="9" t="s">
        <v>108</v>
      </c>
      <c r="B12" s="10" t="s">
        <v>109</v>
      </c>
      <c r="C12" s="10" t="s">
        <v>110</v>
      </c>
      <c r="D12" s="10" t="s">
        <v>111</v>
      </c>
      <c r="E12" s="10" t="s">
        <v>112</v>
      </c>
      <c r="F12" s="10" t="s">
        <v>113</v>
      </c>
      <c r="G12" s="10" t="s">
        <v>114</v>
      </c>
      <c r="H12" s="21" t="s">
        <v>481</v>
      </c>
      <c r="I12" s="10" t="s">
        <v>49</v>
      </c>
      <c r="J12" s="10" t="s">
        <v>50</v>
      </c>
      <c r="K12" s="10" t="s">
        <v>51</v>
      </c>
      <c r="L12" s="10" t="s">
        <v>52</v>
      </c>
      <c r="M12" s="10" t="s">
        <v>53</v>
      </c>
      <c r="N12" s="10" t="s">
        <v>54</v>
      </c>
    </row>
    <row r="13" spans="1:14" ht="60" customHeight="1" x14ac:dyDescent="0.2">
      <c r="A13" s="11" t="s">
        <v>115</v>
      </c>
      <c r="B13" s="12" t="s">
        <v>109</v>
      </c>
      <c r="C13" s="12" t="s">
        <v>116</v>
      </c>
      <c r="D13" s="12" t="s">
        <v>117</v>
      </c>
      <c r="E13" s="12" t="s">
        <v>112</v>
      </c>
      <c r="F13" s="12" t="s">
        <v>113</v>
      </c>
      <c r="G13" s="12" t="s">
        <v>118</v>
      </c>
      <c r="H13" s="21" t="s">
        <v>481</v>
      </c>
      <c r="I13" s="12" t="s">
        <v>49</v>
      </c>
      <c r="J13" s="12" t="s">
        <v>50</v>
      </c>
      <c r="K13" s="12" t="s">
        <v>75</v>
      </c>
      <c r="L13" s="12" t="s">
        <v>52</v>
      </c>
      <c r="M13" s="12" t="s">
        <v>53</v>
      </c>
      <c r="N13" s="12" t="s">
        <v>54</v>
      </c>
    </row>
    <row r="14" spans="1:14" ht="60" customHeight="1" x14ac:dyDescent="0.2">
      <c r="A14" s="9" t="s">
        <v>119</v>
      </c>
      <c r="B14" s="10" t="s">
        <v>109</v>
      </c>
      <c r="C14" s="10" t="s">
        <v>120</v>
      </c>
      <c r="D14" s="10" t="s">
        <v>121</v>
      </c>
      <c r="E14" s="10" t="s">
        <v>122</v>
      </c>
      <c r="F14" s="10" t="s">
        <v>123</v>
      </c>
      <c r="G14" s="10" t="s">
        <v>124</v>
      </c>
      <c r="H14" s="21" t="s">
        <v>481</v>
      </c>
      <c r="I14" s="10" t="s">
        <v>49</v>
      </c>
      <c r="J14" s="10" t="s">
        <v>50</v>
      </c>
      <c r="K14" s="10" t="s">
        <v>61</v>
      </c>
      <c r="L14" s="10" t="s">
        <v>52</v>
      </c>
      <c r="M14" s="10" t="s">
        <v>53</v>
      </c>
      <c r="N14" s="10" t="s">
        <v>54</v>
      </c>
    </row>
    <row r="15" spans="1:14" ht="60" customHeight="1" x14ac:dyDescent="0.2">
      <c r="A15" s="11" t="s">
        <v>125</v>
      </c>
      <c r="B15" s="12" t="s">
        <v>126</v>
      </c>
      <c r="C15" s="12" t="s">
        <v>127</v>
      </c>
      <c r="D15" s="12" t="s">
        <v>128</v>
      </c>
      <c r="E15" s="12" t="s">
        <v>129</v>
      </c>
      <c r="F15" s="12" t="s">
        <v>130</v>
      </c>
      <c r="G15" s="12" t="s">
        <v>131</v>
      </c>
      <c r="H15" s="21" t="s">
        <v>481</v>
      </c>
      <c r="I15" s="12" t="s">
        <v>49</v>
      </c>
      <c r="J15" s="12" t="s">
        <v>50</v>
      </c>
      <c r="K15" s="12" t="s">
        <v>51</v>
      </c>
      <c r="L15" s="12" t="s">
        <v>52</v>
      </c>
      <c r="M15" s="12" t="s">
        <v>53</v>
      </c>
      <c r="N15" s="12" t="s">
        <v>54</v>
      </c>
    </row>
    <row r="16" spans="1:14" ht="60" customHeight="1" x14ac:dyDescent="0.2">
      <c r="A16" s="9" t="s">
        <v>132</v>
      </c>
      <c r="B16" s="10" t="s">
        <v>126</v>
      </c>
      <c r="C16" s="10" t="s">
        <v>133</v>
      </c>
      <c r="D16" s="10" t="s">
        <v>134</v>
      </c>
      <c r="E16" s="10" t="s">
        <v>129</v>
      </c>
      <c r="F16" s="10" t="s">
        <v>135</v>
      </c>
      <c r="G16" s="10" t="s">
        <v>136</v>
      </c>
      <c r="H16" s="21" t="s">
        <v>481</v>
      </c>
      <c r="I16" s="10" t="s">
        <v>49</v>
      </c>
      <c r="J16" s="10" t="s">
        <v>50</v>
      </c>
      <c r="K16" s="10" t="s">
        <v>51</v>
      </c>
      <c r="L16" s="10" t="s">
        <v>52</v>
      </c>
      <c r="M16" s="10" t="s">
        <v>53</v>
      </c>
      <c r="N16" s="10" t="s">
        <v>54</v>
      </c>
    </row>
    <row r="17" spans="1:14" ht="60" customHeight="1" x14ac:dyDescent="0.2">
      <c r="A17" s="11" t="s">
        <v>137</v>
      </c>
      <c r="B17" s="12" t="s">
        <v>126</v>
      </c>
      <c r="C17" s="12" t="s">
        <v>138</v>
      </c>
      <c r="D17" s="12" t="s">
        <v>139</v>
      </c>
      <c r="E17" s="12" t="s">
        <v>140</v>
      </c>
      <c r="F17" s="12" t="s">
        <v>123</v>
      </c>
      <c r="G17" s="12" t="s">
        <v>141</v>
      </c>
      <c r="H17" s="21" t="s">
        <v>481</v>
      </c>
      <c r="I17" s="12" t="s">
        <v>49</v>
      </c>
      <c r="J17" s="12" t="s">
        <v>50</v>
      </c>
      <c r="K17" s="12" t="s">
        <v>61</v>
      </c>
      <c r="L17" s="12" t="s">
        <v>52</v>
      </c>
      <c r="M17" s="12" t="s">
        <v>53</v>
      </c>
      <c r="N17" s="12" t="s">
        <v>142</v>
      </c>
    </row>
    <row r="18" spans="1:14" ht="60" customHeight="1" x14ac:dyDescent="0.2">
      <c r="A18" s="9" t="s">
        <v>143</v>
      </c>
      <c r="B18" s="10" t="s">
        <v>126</v>
      </c>
      <c r="C18" s="10" t="s">
        <v>144</v>
      </c>
      <c r="D18" s="10" t="s">
        <v>145</v>
      </c>
      <c r="E18" s="10" t="s">
        <v>140</v>
      </c>
      <c r="F18" s="10" t="s">
        <v>123</v>
      </c>
      <c r="G18" s="10" t="s">
        <v>146</v>
      </c>
      <c r="H18" s="21" t="s">
        <v>481</v>
      </c>
      <c r="I18" s="10" t="s">
        <v>49</v>
      </c>
      <c r="J18" s="10" t="s">
        <v>50</v>
      </c>
      <c r="K18" s="10" t="s">
        <v>75</v>
      </c>
      <c r="L18" s="10" t="s">
        <v>52</v>
      </c>
      <c r="M18" s="10" t="s">
        <v>53</v>
      </c>
      <c r="N18" s="10" t="s">
        <v>54</v>
      </c>
    </row>
    <row r="19" spans="1:14" ht="60" customHeight="1" x14ac:dyDescent="0.2">
      <c r="A19" s="11" t="s">
        <v>147</v>
      </c>
      <c r="B19" s="12" t="s">
        <v>126</v>
      </c>
      <c r="C19" s="12" t="s">
        <v>148</v>
      </c>
      <c r="D19" s="12" t="s">
        <v>149</v>
      </c>
      <c r="E19" s="12" t="s">
        <v>140</v>
      </c>
      <c r="F19" s="12" t="s">
        <v>150</v>
      </c>
      <c r="G19" s="12" t="s">
        <v>151</v>
      </c>
      <c r="H19" s="21" t="s">
        <v>481</v>
      </c>
      <c r="I19" s="12" t="s">
        <v>49</v>
      </c>
      <c r="J19" s="12" t="s">
        <v>50</v>
      </c>
      <c r="K19" s="12" t="s">
        <v>61</v>
      </c>
      <c r="L19" s="12" t="s">
        <v>52</v>
      </c>
      <c r="M19" s="12" t="s">
        <v>53</v>
      </c>
      <c r="N19" s="12" t="s">
        <v>54</v>
      </c>
    </row>
    <row r="20" spans="1:14" ht="60" customHeight="1" x14ac:dyDescent="0.2">
      <c r="A20" s="9" t="s">
        <v>152</v>
      </c>
      <c r="B20" s="10" t="s">
        <v>153</v>
      </c>
      <c r="C20" s="10" t="s">
        <v>154</v>
      </c>
      <c r="D20" s="10" t="s">
        <v>155</v>
      </c>
      <c r="E20" s="10" t="s">
        <v>156</v>
      </c>
      <c r="F20" s="10" t="s">
        <v>157</v>
      </c>
      <c r="G20" s="10" t="s">
        <v>158</v>
      </c>
      <c r="H20" s="21" t="s">
        <v>481</v>
      </c>
      <c r="I20" s="10" t="s">
        <v>49</v>
      </c>
      <c r="J20" s="10" t="s">
        <v>50</v>
      </c>
      <c r="K20" s="10" t="s">
        <v>51</v>
      </c>
      <c r="L20" s="10" t="s">
        <v>52</v>
      </c>
      <c r="M20" s="10" t="s">
        <v>53</v>
      </c>
      <c r="N20" s="10" t="s">
        <v>159</v>
      </c>
    </row>
    <row r="21" spans="1:14" ht="60" customHeight="1" x14ac:dyDescent="0.2">
      <c r="A21" s="11" t="s">
        <v>160</v>
      </c>
      <c r="B21" s="12" t="s">
        <v>153</v>
      </c>
      <c r="C21" s="12" t="s">
        <v>161</v>
      </c>
      <c r="D21" s="12" t="s">
        <v>162</v>
      </c>
      <c r="E21" s="12" t="s">
        <v>163</v>
      </c>
      <c r="F21" s="12" t="s">
        <v>164</v>
      </c>
      <c r="G21" s="12" t="s">
        <v>165</v>
      </c>
      <c r="H21" s="21" t="s">
        <v>481</v>
      </c>
      <c r="I21" s="12" t="s">
        <v>49</v>
      </c>
      <c r="J21" s="12" t="s">
        <v>50</v>
      </c>
      <c r="K21" s="12" t="s">
        <v>51</v>
      </c>
      <c r="L21" s="12" t="s">
        <v>52</v>
      </c>
      <c r="M21" s="12" t="s">
        <v>53</v>
      </c>
      <c r="N21" s="12" t="s">
        <v>54</v>
      </c>
    </row>
    <row r="22" spans="1:14" ht="60" customHeight="1" x14ac:dyDescent="0.2">
      <c r="A22" s="9" t="s">
        <v>166</v>
      </c>
      <c r="B22" s="10" t="s">
        <v>153</v>
      </c>
      <c r="C22" s="10" t="s">
        <v>167</v>
      </c>
      <c r="D22" s="10" t="s">
        <v>168</v>
      </c>
      <c r="E22" s="10" t="s">
        <v>169</v>
      </c>
      <c r="F22" s="10" t="s">
        <v>170</v>
      </c>
      <c r="G22" s="10" t="s">
        <v>171</v>
      </c>
      <c r="H22" s="21" t="s">
        <v>481</v>
      </c>
      <c r="I22" s="10" t="s">
        <v>49</v>
      </c>
      <c r="J22" s="10" t="s">
        <v>50</v>
      </c>
      <c r="K22" s="10" t="s">
        <v>61</v>
      </c>
      <c r="L22" s="10" t="s">
        <v>52</v>
      </c>
      <c r="M22" s="10" t="s">
        <v>53</v>
      </c>
      <c r="N22" s="10" t="s">
        <v>54</v>
      </c>
    </row>
    <row r="23" spans="1:14" ht="60" customHeight="1" x14ac:dyDescent="0.2">
      <c r="A23" s="11" t="s">
        <v>172</v>
      </c>
      <c r="B23" s="12" t="s">
        <v>153</v>
      </c>
      <c r="C23" s="12" t="s">
        <v>173</v>
      </c>
      <c r="D23" s="12" t="s">
        <v>174</v>
      </c>
      <c r="E23" s="12" t="s">
        <v>169</v>
      </c>
      <c r="F23" s="12" t="s">
        <v>123</v>
      </c>
      <c r="G23" s="12" t="s">
        <v>175</v>
      </c>
      <c r="H23" s="21" t="s">
        <v>481</v>
      </c>
      <c r="I23" s="12" t="s">
        <v>49</v>
      </c>
      <c r="J23" s="12" t="s">
        <v>50</v>
      </c>
      <c r="K23" s="12" t="s">
        <v>75</v>
      </c>
      <c r="L23" s="12" t="s">
        <v>52</v>
      </c>
      <c r="M23" s="12" t="s">
        <v>53</v>
      </c>
      <c r="N23" s="12" t="s">
        <v>54</v>
      </c>
    </row>
    <row r="24" spans="1:14" ht="60" customHeight="1" x14ac:dyDescent="0.2">
      <c r="A24" s="9" t="s">
        <v>176</v>
      </c>
      <c r="B24" s="10" t="s">
        <v>177</v>
      </c>
      <c r="C24" s="10" t="s">
        <v>178</v>
      </c>
      <c r="D24" s="10" t="s">
        <v>179</v>
      </c>
      <c r="E24" s="10" t="s">
        <v>180</v>
      </c>
      <c r="F24" s="10" t="s">
        <v>181</v>
      </c>
      <c r="G24" s="10" t="s">
        <v>182</v>
      </c>
      <c r="H24" s="21" t="s">
        <v>481</v>
      </c>
      <c r="I24" s="10" t="s">
        <v>49</v>
      </c>
      <c r="J24" s="10" t="s">
        <v>50</v>
      </c>
      <c r="K24" s="10" t="s">
        <v>51</v>
      </c>
      <c r="L24" s="10" t="s">
        <v>52</v>
      </c>
      <c r="M24" s="10" t="s">
        <v>53</v>
      </c>
      <c r="N24" s="10" t="s">
        <v>54</v>
      </c>
    </row>
    <row r="25" spans="1:14" ht="60" customHeight="1" x14ac:dyDescent="0.2">
      <c r="A25" s="11" t="s">
        <v>183</v>
      </c>
      <c r="B25" s="12" t="s">
        <v>177</v>
      </c>
      <c r="C25" s="12" t="s">
        <v>184</v>
      </c>
      <c r="D25" s="12" t="s">
        <v>185</v>
      </c>
      <c r="E25" s="12" t="s">
        <v>180</v>
      </c>
      <c r="F25" s="12" t="s">
        <v>186</v>
      </c>
      <c r="G25" s="12" t="s">
        <v>187</v>
      </c>
      <c r="H25" s="21" t="s">
        <v>481</v>
      </c>
      <c r="I25" s="12" t="s">
        <v>49</v>
      </c>
      <c r="J25" s="12" t="s">
        <v>50</v>
      </c>
      <c r="K25" s="12" t="s">
        <v>51</v>
      </c>
      <c r="L25" s="12" t="s">
        <v>52</v>
      </c>
      <c r="M25" s="12" t="s">
        <v>53</v>
      </c>
      <c r="N25" s="12" t="s">
        <v>54</v>
      </c>
    </row>
    <row r="26" spans="1:14" ht="60" customHeight="1" x14ac:dyDescent="0.2">
      <c r="A26" s="9" t="s">
        <v>188</v>
      </c>
      <c r="B26" s="10" t="s">
        <v>177</v>
      </c>
      <c r="C26" s="10" t="s">
        <v>189</v>
      </c>
      <c r="D26" s="10" t="s">
        <v>190</v>
      </c>
      <c r="E26" s="10" t="s">
        <v>180</v>
      </c>
      <c r="F26" s="10" t="s">
        <v>191</v>
      </c>
      <c r="G26" s="10" t="s">
        <v>192</v>
      </c>
      <c r="H26" s="21" t="s">
        <v>481</v>
      </c>
      <c r="I26" s="10" t="s">
        <v>49</v>
      </c>
      <c r="J26" s="10" t="s">
        <v>50</v>
      </c>
      <c r="K26" s="10" t="s">
        <v>61</v>
      </c>
      <c r="L26" s="10" t="s">
        <v>52</v>
      </c>
      <c r="M26" s="10" t="s">
        <v>53</v>
      </c>
      <c r="N26" s="10" t="s">
        <v>54</v>
      </c>
    </row>
    <row r="27" spans="1:14" ht="60" customHeight="1" x14ac:dyDescent="0.2">
      <c r="A27" s="11" t="s">
        <v>193</v>
      </c>
      <c r="B27" s="12" t="s">
        <v>177</v>
      </c>
      <c r="C27" s="12" t="s">
        <v>194</v>
      </c>
      <c r="D27" s="12" t="s">
        <v>195</v>
      </c>
      <c r="E27" s="12" t="s">
        <v>180</v>
      </c>
      <c r="F27" s="12" t="s">
        <v>196</v>
      </c>
      <c r="G27" s="12" t="s">
        <v>197</v>
      </c>
      <c r="H27" s="21" t="s">
        <v>481</v>
      </c>
      <c r="I27" s="12" t="s">
        <v>49</v>
      </c>
      <c r="J27" s="12" t="s">
        <v>50</v>
      </c>
      <c r="K27" s="12" t="s">
        <v>61</v>
      </c>
      <c r="L27" s="12" t="s">
        <v>52</v>
      </c>
      <c r="M27" s="12" t="s">
        <v>53</v>
      </c>
      <c r="N27" s="12" t="s">
        <v>54</v>
      </c>
    </row>
    <row r="28" spans="1:14" ht="60" customHeight="1" x14ac:dyDescent="0.2">
      <c r="A28" s="9" t="s">
        <v>198</v>
      </c>
      <c r="B28" s="10" t="s">
        <v>177</v>
      </c>
      <c r="C28" s="10" t="s">
        <v>199</v>
      </c>
      <c r="D28" s="10" t="s">
        <v>200</v>
      </c>
      <c r="E28" s="10" t="s">
        <v>180</v>
      </c>
      <c r="F28" s="10" t="s">
        <v>201</v>
      </c>
      <c r="G28" s="10" t="s">
        <v>202</v>
      </c>
      <c r="H28" s="21" t="s">
        <v>481</v>
      </c>
      <c r="I28" s="10" t="s">
        <v>49</v>
      </c>
      <c r="J28" s="10" t="s">
        <v>50</v>
      </c>
      <c r="K28" s="10" t="s">
        <v>75</v>
      </c>
      <c r="L28" s="10" t="s">
        <v>52</v>
      </c>
      <c r="M28" s="10" t="s">
        <v>53</v>
      </c>
      <c r="N28" s="10" t="s">
        <v>203</v>
      </c>
    </row>
    <row r="29" spans="1:14" ht="60" customHeight="1" x14ac:dyDescent="0.2">
      <c r="A29" s="11" t="s">
        <v>204</v>
      </c>
      <c r="B29" s="12" t="s">
        <v>177</v>
      </c>
      <c r="C29" s="12" t="s">
        <v>205</v>
      </c>
      <c r="D29" s="12" t="s">
        <v>206</v>
      </c>
      <c r="E29" s="12" t="s">
        <v>207</v>
      </c>
      <c r="F29" s="12" t="s">
        <v>123</v>
      </c>
      <c r="G29" s="12" t="s">
        <v>208</v>
      </c>
      <c r="H29" s="21" t="s">
        <v>481</v>
      </c>
      <c r="I29" s="12" t="s">
        <v>49</v>
      </c>
      <c r="J29" s="12" t="s">
        <v>50</v>
      </c>
      <c r="K29" s="12" t="s">
        <v>75</v>
      </c>
      <c r="L29" s="12" t="s">
        <v>52</v>
      </c>
      <c r="M29" s="12" t="s">
        <v>53</v>
      </c>
      <c r="N29" s="12" t="s">
        <v>209</v>
      </c>
    </row>
    <row r="30" spans="1:14" ht="60" customHeight="1" x14ac:dyDescent="0.2">
      <c r="A30" s="9" t="s">
        <v>210</v>
      </c>
      <c r="B30" s="10" t="s">
        <v>177</v>
      </c>
      <c r="C30" s="10" t="s">
        <v>211</v>
      </c>
      <c r="D30" s="10" t="s">
        <v>212</v>
      </c>
      <c r="E30" s="10" t="s">
        <v>213</v>
      </c>
      <c r="F30" s="10" t="s">
        <v>123</v>
      </c>
      <c r="G30" s="10" t="s">
        <v>214</v>
      </c>
      <c r="H30" s="21" t="s">
        <v>481</v>
      </c>
      <c r="I30" s="10" t="s">
        <v>49</v>
      </c>
      <c r="J30" s="10" t="s">
        <v>50</v>
      </c>
      <c r="K30" s="10" t="s">
        <v>75</v>
      </c>
      <c r="L30" s="10" t="s">
        <v>52</v>
      </c>
      <c r="M30" s="10" t="s">
        <v>53</v>
      </c>
      <c r="N30" s="10" t="s">
        <v>54</v>
      </c>
    </row>
    <row r="31" spans="1:14" ht="60" customHeight="1" x14ac:dyDescent="0.2">
      <c r="A31" s="11" t="s">
        <v>215</v>
      </c>
      <c r="B31" s="12" t="s">
        <v>216</v>
      </c>
      <c r="C31" s="12" t="s">
        <v>217</v>
      </c>
      <c r="D31" s="12" t="s">
        <v>218</v>
      </c>
      <c r="E31" s="12" t="s">
        <v>219</v>
      </c>
      <c r="F31" s="12" t="s">
        <v>220</v>
      </c>
      <c r="G31" s="12" t="s">
        <v>221</v>
      </c>
      <c r="H31" s="21" t="s">
        <v>481</v>
      </c>
      <c r="I31" s="12" t="s">
        <v>49</v>
      </c>
      <c r="J31" s="12" t="s">
        <v>50</v>
      </c>
      <c r="K31" s="12" t="s">
        <v>61</v>
      </c>
      <c r="L31" s="12" t="s">
        <v>52</v>
      </c>
      <c r="M31" s="12" t="s">
        <v>53</v>
      </c>
      <c r="N31" s="12" t="s">
        <v>222</v>
      </c>
    </row>
    <row r="32" spans="1:14" ht="60" customHeight="1" x14ac:dyDescent="0.2">
      <c r="A32" s="9" t="s">
        <v>223</v>
      </c>
      <c r="B32" s="10" t="s">
        <v>216</v>
      </c>
      <c r="C32" s="10" t="s">
        <v>224</v>
      </c>
      <c r="D32" s="10" t="s">
        <v>225</v>
      </c>
      <c r="E32" s="10" t="s">
        <v>226</v>
      </c>
      <c r="F32" s="10" t="s">
        <v>227</v>
      </c>
      <c r="G32" s="10" t="s">
        <v>228</v>
      </c>
      <c r="H32" s="21" t="s">
        <v>481</v>
      </c>
      <c r="I32" s="10" t="s">
        <v>49</v>
      </c>
      <c r="J32" s="10" t="s">
        <v>50</v>
      </c>
      <c r="K32" s="10" t="s">
        <v>51</v>
      </c>
      <c r="L32" s="10" t="s">
        <v>52</v>
      </c>
      <c r="M32" s="10" t="s">
        <v>53</v>
      </c>
      <c r="N32" s="10" t="s">
        <v>54</v>
      </c>
    </row>
    <row r="33" spans="1:14" ht="60" customHeight="1" x14ac:dyDescent="0.2">
      <c r="A33" s="11" t="s">
        <v>229</v>
      </c>
      <c r="B33" s="12" t="s">
        <v>216</v>
      </c>
      <c r="C33" s="12" t="s">
        <v>230</v>
      </c>
      <c r="D33" s="12" t="s">
        <v>231</v>
      </c>
      <c r="E33" s="12" t="s">
        <v>226</v>
      </c>
      <c r="F33" s="12" t="s">
        <v>123</v>
      </c>
      <c r="G33" s="12" t="s">
        <v>232</v>
      </c>
      <c r="H33" s="21" t="s">
        <v>481</v>
      </c>
      <c r="I33" s="12" t="s">
        <v>49</v>
      </c>
      <c r="J33" s="12" t="s">
        <v>50</v>
      </c>
      <c r="K33" s="12" t="s">
        <v>61</v>
      </c>
      <c r="L33" s="12" t="s">
        <v>52</v>
      </c>
      <c r="M33" s="12" t="s">
        <v>53</v>
      </c>
      <c r="N33" s="12" t="s">
        <v>54</v>
      </c>
    </row>
    <row r="34" spans="1:14" ht="60" customHeight="1" x14ac:dyDescent="0.2">
      <c r="A34" s="9" t="s">
        <v>233</v>
      </c>
      <c r="B34" s="10" t="s">
        <v>234</v>
      </c>
      <c r="C34" s="10" t="s">
        <v>235</v>
      </c>
      <c r="D34" s="10" t="s">
        <v>236</v>
      </c>
      <c r="E34" s="10" t="s">
        <v>237</v>
      </c>
      <c r="F34" s="10" t="s">
        <v>123</v>
      </c>
      <c r="G34" s="10" t="s">
        <v>238</v>
      </c>
      <c r="H34" s="21" t="s">
        <v>481</v>
      </c>
      <c r="I34" s="10" t="s">
        <v>49</v>
      </c>
      <c r="J34" s="10" t="s">
        <v>50</v>
      </c>
      <c r="K34" s="10" t="s">
        <v>61</v>
      </c>
      <c r="L34" s="10" t="s">
        <v>52</v>
      </c>
      <c r="M34" s="10" t="s">
        <v>53</v>
      </c>
      <c r="N34" s="10" t="s">
        <v>54</v>
      </c>
    </row>
    <row r="35" spans="1:14" ht="60" customHeight="1" x14ac:dyDescent="0.2">
      <c r="A35" s="11" t="s">
        <v>239</v>
      </c>
      <c r="B35" s="12" t="s">
        <v>234</v>
      </c>
      <c r="C35" s="12" t="s">
        <v>240</v>
      </c>
      <c r="D35" s="12" t="s">
        <v>241</v>
      </c>
      <c r="E35" s="12" t="s">
        <v>242</v>
      </c>
      <c r="F35" s="12" t="s">
        <v>243</v>
      </c>
      <c r="G35" s="12" t="s">
        <v>244</v>
      </c>
      <c r="H35" s="21" t="s">
        <v>481</v>
      </c>
      <c r="I35" s="12" t="s">
        <v>49</v>
      </c>
      <c r="J35" s="12" t="s">
        <v>50</v>
      </c>
      <c r="K35" s="12" t="s">
        <v>61</v>
      </c>
      <c r="L35" s="12" t="s">
        <v>52</v>
      </c>
      <c r="M35" s="12" t="s">
        <v>53</v>
      </c>
      <c r="N35" s="12" t="s">
        <v>245</v>
      </c>
    </row>
    <row r="36" spans="1:14" ht="60" customHeight="1" x14ac:dyDescent="0.2">
      <c r="A36" s="9" t="s">
        <v>246</v>
      </c>
      <c r="B36" s="10" t="s">
        <v>234</v>
      </c>
      <c r="C36" s="10" t="s">
        <v>247</v>
      </c>
      <c r="D36" s="10" t="s">
        <v>248</v>
      </c>
      <c r="E36" s="10" t="s">
        <v>242</v>
      </c>
      <c r="F36" s="10" t="s">
        <v>123</v>
      </c>
      <c r="G36" s="10" t="s">
        <v>249</v>
      </c>
      <c r="H36" s="21" t="s">
        <v>481</v>
      </c>
      <c r="I36" s="10" t="s">
        <v>49</v>
      </c>
      <c r="J36" s="10" t="s">
        <v>50</v>
      </c>
      <c r="K36" s="10" t="s">
        <v>75</v>
      </c>
      <c r="L36" s="10" t="s">
        <v>52</v>
      </c>
      <c r="M36" s="10" t="s">
        <v>53</v>
      </c>
      <c r="N36" s="10" t="s">
        <v>54</v>
      </c>
    </row>
    <row r="37" spans="1:14" ht="60" customHeight="1" x14ac:dyDescent="0.2">
      <c r="A37" s="11" t="s">
        <v>250</v>
      </c>
      <c r="B37" s="12" t="s">
        <v>251</v>
      </c>
      <c r="C37" s="12" t="s">
        <v>252</v>
      </c>
      <c r="D37" s="12" t="s">
        <v>253</v>
      </c>
      <c r="E37" s="12" t="s">
        <v>254</v>
      </c>
      <c r="F37" s="12" t="s">
        <v>123</v>
      </c>
      <c r="G37" s="12" t="s">
        <v>255</v>
      </c>
      <c r="H37" s="21" t="s">
        <v>481</v>
      </c>
      <c r="I37" s="12" t="s">
        <v>49</v>
      </c>
      <c r="J37" s="12" t="s">
        <v>50</v>
      </c>
      <c r="K37" s="12" t="s">
        <v>51</v>
      </c>
      <c r="L37" s="12" t="s">
        <v>52</v>
      </c>
      <c r="M37" s="12" t="s">
        <v>53</v>
      </c>
      <c r="N37" s="12" t="s">
        <v>54</v>
      </c>
    </row>
    <row r="38" spans="1:14" ht="60" customHeight="1" x14ac:dyDescent="0.2">
      <c r="A38" s="9" t="s">
        <v>256</v>
      </c>
      <c r="B38" s="10" t="s">
        <v>251</v>
      </c>
      <c r="C38" s="10" t="s">
        <v>257</v>
      </c>
      <c r="D38" s="10" t="s">
        <v>258</v>
      </c>
      <c r="E38" s="10" t="s">
        <v>259</v>
      </c>
      <c r="F38" s="10" t="s">
        <v>123</v>
      </c>
      <c r="G38" s="10" t="s">
        <v>260</v>
      </c>
      <c r="H38" s="21" t="s">
        <v>481</v>
      </c>
      <c r="I38" s="10" t="s">
        <v>49</v>
      </c>
      <c r="J38" s="10" t="s">
        <v>50</v>
      </c>
      <c r="K38" s="10" t="s">
        <v>61</v>
      </c>
      <c r="L38" s="10" t="s">
        <v>52</v>
      </c>
      <c r="M38" s="10" t="s">
        <v>53</v>
      </c>
      <c r="N38" s="10" t="s">
        <v>54</v>
      </c>
    </row>
    <row r="39" spans="1:14" ht="60" customHeight="1" x14ac:dyDescent="0.2">
      <c r="A39" s="11" t="s">
        <v>261</v>
      </c>
      <c r="B39" s="12" t="s">
        <v>251</v>
      </c>
      <c r="C39" s="12" t="s">
        <v>262</v>
      </c>
      <c r="D39" s="12" t="s">
        <v>263</v>
      </c>
      <c r="E39" s="12" t="s">
        <v>123</v>
      </c>
      <c r="F39" s="12" t="s">
        <v>264</v>
      </c>
      <c r="G39" s="12" t="s">
        <v>265</v>
      </c>
      <c r="H39" s="21" t="s">
        <v>481</v>
      </c>
      <c r="I39" s="12" t="s">
        <v>49</v>
      </c>
      <c r="J39" s="12" t="s">
        <v>50</v>
      </c>
      <c r="K39" s="12" t="s">
        <v>51</v>
      </c>
      <c r="L39" s="12" t="s">
        <v>52</v>
      </c>
      <c r="M39" s="12" t="s">
        <v>53</v>
      </c>
      <c r="N39" s="12" t="s">
        <v>266</v>
      </c>
    </row>
    <row r="40" spans="1:14" ht="60" customHeight="1" x14ac:dyDescent="0.2">
      <c r="A40" s="9" t="s">
        <v>267</v>
      </c>
      <c r="B40" s="10" t="s">
        <v>251</v>
      </c>
      <c r="C40" s="10" t="s">
        <v>268</v>
      </c>
      <c r="D40" s="10" t="s">
        <v>269</v>
      </c>
      <c r="E40" s="10" t="s">
        <v>123</v>
      </c>
      <c r="F40" s="10" t="s">
        <v>123</v>
      </c>
      <c r="G40" s="10" t="s">
        <v>270</v>
      </c>
      <c r="H40" s="21" t="s">
        <v>481</v>
      </c>
      <c r="I40" s="10" t="s">
        <v>49</v>
      </c>
      <c r="J40" s="10" t="s">
        <v>50</v>
      </c>
      <c r="K40" s="10" t="s">
        <v>61</v>
      </c>
      <c r="L40" s="10" t="s">
        <v>52</v>
      </c>
      <c r="M40" s="10" t="s">
        <v>53</v>
      </c>
      <c r="N40" s="10" t="s">
        <v>54</v>
      </c>
    </row>
    <row r="41" spans="1:14" ht="60" customHeight="1" x14ac:dyDescent="0.2">
      <c r="A41" s="11" t="s">
        <v>271</v>
      </c>
      <c r="B41" s="12" t="s">
        <v>251</v>
      </c>
      <c r="C41" s="12" t="s">
        <v>272</v>
      </c>
      <c r="D41" s="12" t="s">
        <v>273</v>
      </c>
      <c r="E41" s="12" t="s">
        <v>274</v>
      </c>
      <c r="F41" s="12" t="s">
        <v>123</v>
      </c>
      <c r="G41" s="12" t="s">
        <v>275</v>
      </c>
      <c r="H41" s="21" t="s">
        <v>481</v>
      </c>
      <c r="I41" s="12" t="s">
        <v>49</v>
      </c>
      <c r="J41" s="12" t="s">
        <v>50</v>
      </c>
      <c r="K41" s="12" t="s">
        <v>61</v>
      </c>
      <c r="L41" s="12" t="s">
        <v>52</v>
      </c>
      <c r="M41" s="12" t="s">
        <v>53</v>
      </c>
      <c r="N41" s="12" t="s">
        <v>54</v>
      </c>
    </row>
    <row r="42" spans="1:14" ht="60" customHeight="1" x14ac:dyDescent="0.2">
      <c r="A42" s="9" t="s">
        <v>276</v>
      </c>
      <c r="B42" s="10" t="s">
        <v>251</v>
      </c>
      <c r="C42" s="10" t="s">
        <v>277</v>
      </c>
      <c r="D42" s="10" t="s">
        <v>278</v>
      </c>
      <c r="E42" s="10" t="s">
        <v>219</v>
      </c>
      <c r="F42" s="10" t="s">
        <v>123</v>
      </c>
      <c r="G42" s="10" t="s">
        <v>279</v>
      </c>
      <c r="H42" s="21" t="s">
        <v>481</v>
      </c>
      <c r="I42" s="10" t="s">
        <v>49</v>
      </c>
      <c r="J42" s="10" t="s">
        <v>50</v>
      </c>
      <c r="K42" s="10" t="s">
        <v>51</v>
      </c>
      <c r="L42" s="10" t="s">
        <v>52</v>
      </c>
      <c r="M42" s="10" t="s">
        <v>53</v>
      </c>
      <c r="N42" s="10" t="s">
        <v>280</v>
      </c>
    </row>
    <row r="43" spans="1:14" ht="60" customHeight="1" x14ac:dyDescent="0.2">
      <c r="A43" s="11" t="s">
        <v>281</v>
      </c>
      <c r="B43" s="12" t="s">
        <v>251</v>
      </c>
      <c r="C43" s="12" t="s">
        <v>282</v>
      </c>
      <c r="D43" s="12" t="s">
        <v>283</v>
      </c>
      <c r="E43" s="12" t="s">
        <v>123</v>
      </c>
      <c r="F43" s="12" t="s">
        <v>123</v>
      </c>
      <c r="G43" s="12" t="s">
        <v>284</v>
      </c>
      <c r="H43" s="21" t="s">
        <v>481</v>
      </c>
      <c r="I43" s="12" t="s">
        <v>49</v>
      </c>
      <c r="J43" s="12" t="s">
        <v>50</v>
      </c>
      <c r="K43" s="12" t="s">
        <v>61</v>
      </c>
      <c r="L43" s="12" t="s">
        <v>52</v>
      </c>
      <c r="M43" s="12" t="s">
        <v>53</v>
      </c>
      <c r="N43" s="12" t="s">
        <v>54</v>
      </c>
    </row>
    <row r="44" spans="1:14" ht="60" customHeight="1" x14ac:dyDescent="0.2">
      <c r="A44" s="9" t="s">
        <v>285</v>
      </c>
      <c r="B44" s="10" t="s">
        <v>251</v>
      </c>
      <c r="C44" s="10" t="s">
        <v>286</v>
      </c>
      <c r="D44" s="10" t="s">
        <v>287</v>
      </c>
      <c r="E44" s="10" t="s">
        <v>123</v>
      </c>
      <c r="F44" s="10" t="s">
        <v>123</v>
      </c>
      <c r="G44" s="10" t="s">
        <v>288</v>
      </c>
      <c r="H44" s="21" t="s">
        <v>481</v>
      </c>
      <c r="I44" s="10" t="s">
        <v>49</v>
      </c>
      <c r="J44" s="10" t="s">
        <v>50</v>
      </c>
      <c r="K44" s="10" t="s">
        <v>75</v>
      </c>
      <c r="L44" s="10" t="s">
        <v>52</v>
      </c>
      <c r="M44" s="10" t="s">
        <v>53</v>
      </c>
      <c r="N44" s="10" t="s">
        <v>54</v>
      </c>
    </row>
    <row r="45" spans="1:14" ht="60" customHeight="1" x14ac:dyDescent="0.2">
      <c r="A45" s="11" t="s">
        <v>289</v>
      </c>
      <c r="B45" s="12" t="s">
        <v>251</v>
      </c>
      <c r="C45" s="12" t="s">
        <v>290</v>
      </c>
      <c r="D45" s="12" t="s">
        <v>291</v>
      </c>
      <c r="E45" s="12" t="s">
        <v>123</v>
      </c>
      <c r="F45" s="12" t="s">
        <v>123</v>
      </c>
      <c r="G45" s="12" t="s">
        <v>292</v>
      </c>
      <c r="H45" s="21" t="s">
        <v>481</v>
      </c>
      <c r="I45" s="12" t="s">
        <v>49</v>
      </c>
      <c r="J45" s="12" t="s">
        <v>50</v>
      </c>
      <c r="K45" s="12" t="s">
        <v>75</v>
      </c>
      <c r="L45" s="12" t="s">
        <v>52</v>
      </c>
      <c r="M45" s="12" t="s">
        <v>53</v>
      </c>
      <c r="N45" s="12" t="s">
        <v>54</v>
      </c>
    </row>
    <row r="46" spans="1:14" ht="60" customHeight="1" x14ac:dyDescent="0.2">
      <c r="A46" s="9" t="s">
        <v>293</v>
      </c>
      <c r="B46" s="10" t="s">
        <v>251</v>
      </c>
      <c r="C46" s="10" t="s">
        <v>294</v>
      </c>
      <c r="D46" s="10" t="s">
        <v>295</v>
      </c>
      <c r="E46" s="10" t="s">
        <v>123</v>
      </c>
      <c r="F46" s="10" t="s">
        <v>123</v>
      </c>
      <c r="G46" s="10" t="s">
        <v>296</v>
      </c>
      <c r="H46" s="21" t="s">
        <v>481</v>
      </c>
      <c r="I46" s="10" t="s">
        <v>49</v>
      </c>
      <c r="J46" s="10" t="s">
        <v>50</v>
      </c>
      <c r="K46" s="10" t="s">
        <v>61</v>
      </c>
      <c r="L46" s="10" t="s">
        <v>52</v>
      </c>
      <c r="M46" s="10" t="s">
        <v>53</v>
      </c>
      <c r="N46" s="10" t="s">
        <v>54</v>
      </c>
    </row>
  </sheetData>
  <autoFilter ref="A1:N46" xr:uid="{00000000-0009-0000-0000-000001000000}"/>
  <conditionalFormatting sqref="J2:J46">
    <cfRule type="cellIs" dxfId="7" priority="2" operator="equal">
      <formula>"Pass"</formula>
    </cfRule>
    <cfRule type="cellIs" dxfId="6" priority="3" operator="equal">
      <formula>"Fail"</formula>
    </cfRule>
    <cfRule type="cellIs" dxfId="5" priority="4" operator="equal">
      <formula>"Blocked"</formula>
    </cfRule>
    <cfRule type="cellIs" dxfId="4" priority="5" operator="equal">
      <formula>"Not Executed"</formula>
    </cfRule>
  </conditionalFormatting>
  <dataValidations count="3">
    <dataValidation type="list" allowBlank="1" errorTitle="Invalid entry" error="Please choose a value from the list." sqref="J2:J46" xr:uid="{00000000-0002-0000-0100-000000000000}">
      <formula1>"Pass,Fail,Blocked,Not Executed"</formula1>
      <formula2>0</formula2>
    </dataValidation>
    <dataValidation type="list" allowBlank="1" sqref="H2:H46" xr:uid="{00000000-0002-0000-0100-000001000000}">
      <formula1>"Desktop - Chrome,Desktop - Edge,Desktop - Firefox,Desktop - Safari,Mobile - iOS Safari,Mobile - Android Chrome,Tablet - iPadOS Safari,Tablet - Android Chrome"</formula1>
      <formula2>0</formula2>
    </dataValidation>
    <dataValidation type="list" allowBlank="1" sqref="K2:K46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showGridLines="0" tabSelected="1" topLeftCell="H1" zoomScaleNormal="100" workbookViewId="0">
      <pane ySplit="1" topLeftCell="A2" activePane="bottomLeft" state="frozen"/>
      <selection pane="bottomLeft" activeCell="H2" sqref="H2:H29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26" customWidth="1"/>
    <col min="4" max="4" width="42" customWidth="1"/>
    <col min="5" max="6" width="22" customWidth="1"/>
    <col min="7" max="7" width="34" customWidth="1"/>
    <col min="8" max="8" width="20" customWidth="1"/>
    <col min="9" max="9" width="26" customWidth="1"/>
    <col min="10" max="10" width="12" customWidth="1"/>
    <col min="11" max="11" width="10" customWidth="1"/>
    <col min="12" max="12" width="14" customWidth="1"/>
    <col min="13" max="13" width="12" customWidth="1"/>
    <col min="14" max="14" width="26" customWidth="1"/>
  </cols>
  <sheetData>
    <row r="1" spans="1:14" ht="30" customHeight="1" x14ac:dyDescent="0.2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</row>
    <row r="2" spans="1:14" ht="60" customHeight="1" x14ac:dyDescent="0.2">
      <c r="A2" s="9" t="s">
        <v>297</v>
      </c>
      <c r="B2" s="10" t="s">
        <v>298</v>
      </c>
      <c r="C2" s="10" t="s">
        <v>299</v>
      </c>
      <c r="D2" s="10" t="s">
        <v>300</v>
      </c>
      <c r="E2" s="10" t="s">
        <v>301</v>
      </c>
      <c r="F2" s="10" t="s">
        <v>302</v>
      </c>
      <c r="G2" s="10" t="s">
        <v>303</v>
      </c>
      <c r="H2" s="21" t="s">
        <v>481</v>
      </c>
      <c r="I2" s="10" t="s">
        <v>49</v>
      </c>
      <c r="J2" s="10" t="s">
        <v>50</v>
      </c>
      <c r="K2" s="10" t="s">
        <v>51</v>
      </c>
      <c r="L2" s="10" t="s">
        <v>52</v>
      </c>
      <c r="M2" s="10" t="s">
        <v>53</v>
      </c>
      <c r="N2" s="10" t="s">
        <v>304</v>
      </c>
    </row>
    <row r="3" spans="1:14" ht="60" customHeight="1" x14ac:dyDescent="0.2">
      <c r="A3" s="11" t="s">
        <v>305</v>
      </c>
      <c r="B3" s="12" t="s">
        <v>298</v>
      </c>
      <c r="C3" s="12" t="s">
        <v>306</v>
      </c>
      <c r="D3" s="12" t="s">
        <v>307</v>
      </c>
      <c r="E3" s="12" t="s">
        <v>308</v>
      </c>
      <c r="F3" s="12" t="s">
        <v>309</v>
      </c>
      <c r="G3" s="12" t="s">
        <v>310</v>
      </c>
      <c r="H3" s="21" t="s">
        <v>481</v>
      </c>
      <c r="I3" s="12" t="s">
        <v>49</v>
      </c>
      <c r="J3" s="12" t="s">
        <v>50</v>
      </c>
      <c r="K3" s="12" t="s">
        <v>51</v>
      </c>
      <c r="L3" s="12" t="s">
        <v>52</v>
      </c>
      <c r="M3" s="12" t="s">
        <v>53</v>
      </c>
      <c r="N3" s="12" t="s">
        <v>311</v>
      </c>
    </row>
    <row r="4" spans="1:14" ht="60" customHeight="1" x14ac:dyDescent="0.2">
      <c r="A4" s="9" t="s">
        <v>312</v>
      </c>
      <c r="B4" s="10" t="s">
        <v>298</v>
      </c>
      <c r="C4" s="10" t="s">
        <v>313</v>
      </c>
      <c r="D4" s="10" t="s">
        <v>314</v>
      </c>
      <c r="E4" s="10" t="s">
        <v>315</v>
      </c>
      <c r="F4" s="10" t="s">
        <v>123</v>
      </c>
      <c r="G4" s="10" t="s">
        <v>316</v>
      </c>
      <c r="H4" s="21" t="s">
        <v>481</v>
      </c>
      <c r="I4" s="10" t="s">
        <v>49</v>
      </c>
      <c r="J4" s="10" t="s">
        <v>50</v>
      </c>
      <c r="K4" s="10" t="s">
        <v>51</v>
      </c>
      <c r="L4" s="10" t="s">
        <v>52</v>
      </c>
      <c r="M4" s="10" t="s">
        <v>53</v>
      </c>
      <c r="N4" s="10" t="s">
        <v>54</v>
      </c>
    </row>
    <row r="5" spans="1:14" ht="60" customHeight="1" x14ac:dyDescent="0.2">
      <c r="A5" s="11" t="s">
        <v>317</v>
      </c>
      <c r="B5" s="12" t="s">
        <v>298</v>
      </c>
      <c r="C5" s="12" t="s">
        <v>318</v>
      </c>
      <c r="D5" s="12" t="s">
        <v>319</v>
      </c>
      <c r="E5" s="12" t="s">
        <v>320</v>
      </c>
      <c r="F5" s="12" t="s">
        <v>123</v>
      </c>
      <c r="G5" s="12" t="s">
        <v>321</v>
      </c>
      <c r="H5" s="21" t="s">
        <v>481</v>
      </c>
      <c r="I5" s="12" t="s">
        <v>49</v>
      </c>
      <c r="J5" s="12" t="s">
        <v>50</v>
      </c>
      <c r="K5" s="12" t="s">
        <v>61</v>
      </c>
      <c r="L5" s="12" t="s">
        <v>52</v>
      </c>
      <c r="M5" s="12" t="s">
        <v>53</v>
      </c>
      <c r="N5" s="12" t="s">
        <v>322</v>
      </c>
    </row>
    <row r="6" spans="1:14" ht="60" customHeight="1" x14ac:dyDescent="0.2">
      <c r="A6" s="9" t="s">
        <v>323</v>
      </c>
      <c r="B6" s="10" t="s">
        <v>324</v>
      </c>
      <c r="C6" s="10" t="s">
        <v>325</v>
      </c>
      <c r="D6" s="10" t="s">
        <v>326</v>
      </c>
      <c r="E6" s="10" t="s">
        <v>308</v>
      </c>
      <c r="F6" s="10" t="s">
        <v>123</v>
      </c>
      <c r="G6" s="10" t="s">
        <v>327</v>
      </c>
      <c r="H6" s="21" t="s">
        <v>481</v>
      </c>
      <c r="I6" s="10" t="s">
        <v>49</v>
      </c>
      <c r="J6" s="10" t="s">
        <v>50</v>
      </c>
      <c r="K6" s="10" t="s">
        <v>61</v>
      </c>
      <c r="L6" s="10" t="s">
        <v>52</v>
      </c>
      <c r="M6" s="10" t="s">
        <v>53</v>
      </c>
      <c r="N6" s="10" t="s">
        <v>328</v>
      </c>
    </row>
    <row r="7" spans="1:14" ht="60" customHeight="1" x14ac:dyDescent="0.2">
      <c r="A7" s="11" t="s">
        <v>329</v>
      </c>
      <c r="B7" s="12" t="s">
        <v>324</v>
      </c>
      <c r="C7" s="12" t="s">
        <v>330</v>
      </c>
      <c r="D7" s="12" t="s">
        <v>331</v>
      </c>
      <c r="E7" s="12" t="s">
        <v>332</v>
      </c>
      <c r="F7" s="12" t="s">
        <v>333</v>
      </c>
      <c r="G7" s="12" t="s">
        <v>334</v>
      </c>
      <c r="H7" s="21" t="s">
        <v>481</v>
      </c>
      <c r="I7" s="12" t="s">
        <v>49</v>
      </c>
      <c r="J7" s="12" t="s">
        <v>50</v>
      </c>
      <c r="K7" s="12" t="s">
        <v>61</v>
      </c>
      <c r="L7" s="12" t="s">
        <v>52</v>
      </c>
      <c r="M7" s="12" t="s">
        <v>53</v>
      </c>
      <c r="N7" s="12" t="s">
        <v>335</v>
      </c>
    </row>
    <row r="8" spans="1:14" ht="60" customHeight="1" x14ac:dyDescent="0.2">
      <c r="A8" s="9" t="s">
        <v>336</v>
      </c>
      <c r="B8" s="10" t="s">
        <v>324</v>
      </c>
      <c r="C8" s="10" t="s">
        <v>337</v>
      </c>
      <c r="D8" s="10" t="s">
        <v>338</v>
      </c>
      <c r="E8" s="10" t="s">
        <v>339</v>
      </c>
      <c r="F8" s="10" t="s">
        <v>340</v>
      </c>
      <c r="G8" s="10" t="s">
        <v>341</v>
      </c>
      <c r="H8" s="21" t="s">
        <v>481</v>
      </c>
      <c r="I8" s="10" t="s">
        <v>49</v>
      </c>
      <c r="J8" s="10" t="s">
        <v>50</v>
      </c>
      <c r="K8" s="10" t="s">
        <v>61</v>
      </c>
      <c r="L8" s="10" t="s">
        <v>52</v>
      </c>
      <c r="M8" s="10" t="s">
        <v>53</v>
      </c>
      <c r="N8" s="10" t="s">
        <v>342</v>
      </c>
    </row>
    <row r="9" spans="1:14" ht="60" customHeight="1" x14ac:dyDescent="0.2">
      <c r="A9" s="11" t="s">
        <v>343</v>
      </c>
      <c r="B9" s="12" t="s">
        <v>324</v>
      </c>
      <c r="C9" s="12" t="s">
        <v>344</v>
      </c>
      <c r="D9" s="12" t="s">
        <v>345</v>
      </c>
      <c r="E9" s="12" t="s">
        <v>346</v>
      </c>
      <c r="F9" s="12" t="s">
        <v>123</v>
      </c>
      <c r="G9" s="12" t="s">
        <v>347</v>
      </c>
      <c r="H9" s="21" t="s">
        <v>481</v>
      </c>
      <c r="I9" s="12" t="s">
        <v>49</v>
      </c>
      <c r="J9" s="12" t="s">
        <v>50</v>
      </c>
      <c r="K9" s="12" t="s">
        <v>75</v>
      </c>
      <c r="L9" s="12" t="s">
        <v>52</v>
      </c>
      <c r="M9" s="12" t="s">
        <v>53</v>
      </c>
      <c r="N9" s="12" t="s">
        <v>54</v>
      </c>
    </row>
    <row r="10" spans="1:14" ht="60" customHeight="1" x14ac:dyDescent="0.2">
      <c r="A10" s="9" t="s">
        <v>348</v>
      </c>
      <c r="B10" s="10" t="s">
        <v>349</v>
      </c>
      <c r="C10" s="10" t="s">
        <v>350</v>
      </c>
      <c r="D10" s="10" t="s">
        <v>351</v>
      </c>
      <c r="E10" s="10" t="s">
        <v>352</v>
      </c>
      <c r="F10" s="10" t="s">
        <v>123</v>
      </c>
      <c r="G10" s="10" t="s">
        <v>353</v>
      </c>
      <c r="H10" s="21" t="s">
        <v>481</v>
      </c>
      <c r="I10" s="10" t="s">
        <v>49</v>
      </c>
      <c r="J10" s="10" t="s">
        <v>50</v>
      </c>
      <c r="K10" s="10" t="s">
        <v>51</v>
      </c>
      <c r="L10" s="10" t="s">
        <v>52</v>
      </c>
      <c r="M10" s="10" t="s">
        <v>53</v>
      </c>
      <c r="N10" s="10" t="s">
        <v>354</v>
      </c>
    </row>
    <row r="11" spans="1:14" ht="60" customHeight="1" x14ac:dyDescent="0.2">
      <c r="A11" s="11" t="s">
        <v>355</v>
      </c>
      <c r="B11" s="12" t="s">
        <v>349</v>
      </c>
      <c r="C11" s="12" t="s">
        <v>356</v>
      </c>
      <c r="D11" s="12" t="s">
        <v>357</v>
      </c>
      <c r="E11" s="12" t="s">
        <v>352</v>
      </c>
      <c r="F11" s="12" t="s">
        <v>358</v>
      </c>
      <c r="G11" s="12" t="s">
        <v>359</v>
      </c>
      <c r="H11" s="21" t="s">
        <v>481</v>
      </c>
      <c r="I11" s="12" t="s">
        <v>49</v>
      </c>
      <c r="J11" s="12" t="s">
        <v>50</v>
      </c>
      <c r="K11" s="12" t="s">
        <v>61</v>
      </c>
      <c r="L11" s="12" t="s">
        <v>52</v>
      </c>
      <c r="M11" s="12" t="s">
        <v>53</v>
      </c>
      <c r="N11" s="12" t="s">
        <v>360</v>
      </c>
    </row>
    <row r="12" spans="1:14" ht="60" customHeight="1" x14ac:dyDescent="0.2">
      <c r="A12" s="9" t="s">
        <v>361</v>
      </c>
      <c r="B12" s="10" t="s">
        <v>349</v>
      </c>
      <c r="C12" s="10" t="s">
        <v>362</v>
      </c>
      <c r="D12" s="10" t="s">
        <v>363</v>
      </c>
      <c r="E12" s="10" t="s">
        <v>308</v>
      </c>
      <c r="F12" s="10" t="s">
        <v>123</v>
      </c>
      <c r="G12" s="10" t="s">
        <v>364</v>
      </c>
      <c r="H12" s="21" t="s">
        <v>481</v>
      </c>
      <c r="I12" s="10" t="s">
        <v>49</v>
      </c>
      <c r="J12" s="10" t="s">
        <v>50</v>
      </c>
      <c r="K12" s="10" t="s">
        <v>75</v>
      </c>
      <c r="L12" s="10" t="s">
        <v>52</v>
      </c>
      <c r="M12" s="10" t="s">
        <v>53</v>
      </c>
      <c r="N12" s="10" t="s">
        <v>365</v>
      </c>
    </row>
    <row r="13" spans="1:14" ht="60" customHeight="1" x14ac:dyDescent="0.2">
      <c r="A13" s="11" t="s">
        <v>366</v>
      </c>
      <c r="B13" s="12" t="s">
        <v>349</v>
      </c>
      <c r="C13" s="12" t="s">
        <v>367</v>
      </c>
      <c r="D13" s="12" t="s">
        <v>368</v>
      </c>
      <c r="E13" s="12" t="s">
        <v>369</v>
      </c>
      <c r="F13" s="12" t="s">
        <v>123</v>
      </c>
      <c r="G13" s="12" t="s">
        <v>370</v>
      </c>
      <c r="H13" s="21" t="s">
        <v>481</v>
      </c>
      <c r="I13" s="12" t="s">
        <v>49</v>
      </c>
      <c r="J13" s="12" t="s">
        <v>50</v>
      </c>
      <c r="K13" s="12" t="s">
        <v>61</v>
      </c>
      <c r="L13" s="12" t="s">
        <v>52</v>
      </c>
      <c r="M13" s="12" t="s">
        <v>53</v>
      </c>
      <c r="N13" s="12" t="s">
        <v>54</v>
      </c>
    </row>
    <row r="14" spans="1:14" ht="60" customHeight="1" x14ac:dyDescent="0.2">
      <c r="A14" s="9" t="s">
        <v>371</v>
      </c>
      <c r="B14" s="10" t="s">
        <v>372</v>
      </c>
      <c r="C14" s="10" t="s">
        <v>373</v>
      </c>
      <c r="D14" s="10" t="s">
        <v>374</v>
      </c>
      <c r="E14" s="10" t="s">
        <v>339</v>
      </c>
      <c r="F14" s="10" t="s">
        <v>123</v>
      </c>
      <c r="G14" s="10" t="s">
        <v>375</v>
      </c>
      <c r="H14" s="21" t="s">
        <v>481</v>
      </c>
      <c r="I14" s="10" t="s">
        <v>49</v>
      </c>
      <c r="J14" s="10" t="s">
        <v>50</v>
      </c>
      <c r="K14" s="10" t="s">
        <v>51</v>
      </c>
      <c r="L14" s="10" t="s">
        <v>52</v>
      </c>
      <c r="M14" s="10" t="s">
        <v>53</v>
      </c>
      <c r="N14" s="10" t="s">
        <v>376</v>
      </c>
    </row>
    <row r="15" spans="1:14" ht="60" customHeight="1" x14ac:dyDescent="0.2">
      <c r="A15" s="11" t="s">
        <v>377</v>
      </c>
      <c r="B15" s="12" t="s">
        <v>372</v>
      </c>
      <c r="C15" s="12" t="s">
        <v>378</v>
      </c>
      <c r="D15" s="12" t="s">
        <v>379</v>
      </c>
      <c r="E15" s="12" t="s">
        <v>380</v>
      </c>
      <c r="F15" s="12" t="s">
        <v>123</v>
      </c>
      <c r="G15" s="12" t="s">
        <v>381</v>
      </c>
      <c r="H15" s="21" t="s">
        <v>481</v>
      </c>
      <c r="I15" s="12" t="s">
        <v>49</v>
      </c>
      <c r="J15" s="12" t="s">
        <v>50</v>
      </c>
      <c r="K15" s="12" t="s">
        <v>51</v>
      </c>
      <c r="L15" s="12" t="s">
        <v>52</v>
      </c>
      <c r="M15" s="12" t="s">
        <v>53</v>
      </c>
      <c r="N15" s="12" t="s">
        <v>382</v>
      </c>
    </row>
    <row r="16" spans="1:14" ht="60" customHeight="1" x14ac:dyDescent="0.2">
      <c r="A16" s="9" t="s">
        <v>383</v>
      </c>
      <c r="B16" s="10" t="s">
        <v>372</v>
      </c>
      <c r="C16" s="10" t="s">
        <v>384</v>
      </c>
      <c r="D16" s="10" t="s">
        <v>385</v>
      </c>
      <c r="E16" s="10" t="s">
        <v>386</v>
      </c>
      <c r="F16" s="10" t="s">
        <v>123</v>
      </c>
      <c r="G16" s="10" t="s">
        <v>387</v>
      </c>
      <c r="H16" s="21" t="s">
        <v>481</v>
      </c>
      <c r="I16" s="10" t="s">
        <v>49</v>
      </c>
      <c r="J16" s="10" t="s">
        <v>50</v>
      </c>
      <c r="K16" s="10" t="s">
        <v>75</v>
      </c>
      <c r="L16" s="10" t="s">
        <v>52</v>
      </c>
      <c r="M16" s="10" t="s">
        <v>53</v>
      </c>
      <c r="N16" s="10" t="s">
        <v>54</v>
      </c>
    </row>
    <row r="17" spans="1:14" ht="60" customHeight="1" x14ac:dyDescent="0.2">
      <c r="A17" s="11" t="s">
        <v>388</v>
      </c>
      <c r="B17" s="12" t="s">
        <v>372</v>
      </c>
      <c r="C17" s="12" t="s">
        <v>389</v>
      </c>
      <c r="D17" s="12" t="s">
        <v>390</v>
      </c>
      <c r="E17" s="12" t="s">
        <v>339</v>
      </c>
      <c r="F17" s="12" t="s">
        <v>391</v>
      </c>
      <c r="G17" s="12" t="s">
        <v>392</v>
      </c>
      <c r="H17" s="21" t="s">
        <v>481</v>
      </c>
      <c r="I17" s="12" t="s">
        <v>49</v>
      </c>
      <c r="J17" s="12" t="s">
        <v>50</v>
      </c>
      <c r="K17" s="12" t="s">
        <v>61</v>
      </c>
      <c r="L17" s="12" t="s">
        <v>52</v>
      </c>
      <c r="M17" s="12" t="s">
        <v>53</v>
      </c>
      <c r="N17" s="12" t="s">
        <v>393</v>
      </c>
    </row>
    <row r="18" spans="1:14" ht="60" customHeight="1" x14ac:dyDescent="0.2">
      <c r="A18" s="9" t="s">
        <v>394</v>
      </c>
      <c r="B18" s="10" t="s">
        <v>395</v>
      </c>
      <c r="C18" s="10" t="s">
        <v>396</v>
      </c>
      <c r="D18" s="10" t="s">
        <v>397</v>
      </c>
      <c r="E18" s="10" t="s">
        <v>398</v>
      </c>
      <c r="F18" s="10" t="s">
        <v>123</v>
      </c>
      <c r="G18" s="10" t="s">
        <v>399</v>
      </c>
      <c r="H18" s="21" t="s">
        <v>481</v>
      </c>
      <c r="I18" s="10" t="s">
        <v>49</v>
      </c>
      <c r="J18" s="10" t="s">
        <v>50</v>
      </c>
      <c r="K18" s="10" t="s">
        <v>61</v>
      </c>
      <c r="L18" s="10" t="s">
        <v>52</v>
      </c>
      <c r="M18" s="10" t="s">
        <v>53</v>
      </c>
      <c r="N18" s="10" t="s">
        <v>400</v>
      </c>
    </row>
    <row r="19" spans="1:14" ht="60" customHeight="1" x14ac:dyDescent="0.2">
      <c r="A19" s="11" t="s">
        <v>401</v>
      </c>
      <c r="B19" s="12" t="s">
        <v>395</v>
      </c>
      <c r="C19" s="12" t="s">
        <v>402</v>
      </c>
      <c r="D19" s="12" t="s">
        <v>403</v>
      </c>
      <c r="E19" s="12" t="s">
        <v>404</v>
      </c>
      <c r="F19" s="12" t="s">
        <v>405</v>
      </c>
      <c r="G19" s="12" t="s">
        <v>406</v>
      </c>
      <c r="H19" s="21" t="s">
        <v>481</v>
      </c>
      <c r="I19" s="12" t="s">
        <v>49</v>
      </c>
      <c r="J19" s="12" t="s">
        <v>50</v>
      </c>
      <c r="K19" s="12" t="s">
        <v>61</v>
      </c>
      <c r="L19" s="12" t="s">
        <v>52</v>
      </c>
      <c r="M19" s="12" t="s">
        <v>53</v>
      </c>
      <c r="N19" s="12" t="s">
        <v>407</v>
      </c>
    </row>
    <row r="20" spans="1:14" ht="60" customHeight="1" x14ac:dyDescent="0.2">
      <c r="A20" s="9" t="s">
        <v>408</v>
      </c>
      <c r="B20" s="10" t="s">
        <v>395</v>
      </c>
      <c r="C20" s="10" t="s">
        <v>409</v>
      </c>
      <c r="D20" s="10" t="s">
        <v>410</v>
      </c>
      <c r="E20" s="10" t="s">
        <v>308</v>
      </c>
      <c r="F20" s="10" t="s">
        <v>411</v>
      </c>
      <c r="G20" s="10" t="s">
        <v>412</v>
      </c>
      <c r="H20" s="21" t="s">
        <v>481</v>
      </c>
      <c r="I20" s="10" t="s">
        <v>49</v>
      </c>
      <c r="J20" s="10" t="s">
        <v>50</v>
      </c>
      <c r="K20" s="10" t="s">
        <v>51</v>
      </c>
      <c r="L20" s="10" t="s">
        <v>52</v>
      </c>
      <c r="M20" s="10" t="s">
        <v>53</v>
      </c>
      <c r="N20" s="10" t="s">
        <v>413</v>
      </c>
    </row>
    <row r="21" spans="1:14" ht="60" customHeight="1" x14ac:dyDescent="0.2">
      <c r="A21" s="11" t="s">
        <v>414</v>
      </c>
      <c r="B21" s="12" t="s">
        <v>395</v>
      </c>
      <c r="C21" s="12" t="s">
        <v>415</v>
      </c>
      <c r="D21" s="12" t="s">
        <v>416</v>
      </c>
      <c r="E21" s="12" t="s">
        <v>417</v>
      </c>
      <c r="F21" s="12" t="s">
        <v>418</v>
      </c>
      <c r="G21" s="12" t="s">
        <v>419</v>
      </c>
      <c r="H21" s="21" t="s">
        <v>481</v>
      </c>
      <c r="I21" s="12" t="s">
        <v>49</v>
      </c>
      <c r="J21" s="12" t="s">
        <v>50</v>
      </c>
      <c r="K21" s="12" t="s">
        <v>51</v>
      </c>
      <c r="L21" s="12" t="s">
        <v>52</v>
      </c>
      <c r="M21" s="12" t="s">
        <v>53</v>
      </c>
      <c r="N21" s="12" t="s">
        <v>420</v>
      </c>
    </row>
    <row r="22" spans="1:14" ht="60" customHeight="1" x14ac:dyDescent="0.2">
      <c r="A22" s="9" t="s">
        <v>421</v>
      </c>
      <c r="B22" s="10" t="s">
        <v>395</v>
      </c>
      <c r="C22" s="10" t="s">
        <v>422</v>
      </c>
      <c r="D22" s="10" t="s">
        <v>423</v>
      </c>
      <c r="E22" s="10" t="s">
        <v>424</v>
      </c>
      <c r="F22" s="10" t="s">
        <v>425</v>
      </c>
      <c r="G22" s="10" t="s">
        <v>426</v>
      </c>
      <c r="H22" s="21" t="s">
        <v>481</v>
      </c>
      <c r="I22" s="10" t="s">
        <v>49</v>
      </c>
      <c r="J22" s="10" t="s">
        <v>50</v>
      </c>
      <c r="K22" s="10" t="s">
        <v>51</v>
      </c>
      <c r="L22" s="10" t="s">
        <v>52</v>
      </c>
      <c r="M22" s="10" t="s">
        <v>53</v>
      </c>
      <c r="N22" s="10" t="s">
        <v>427</v>
      </c>
    </row>
    <row r="23" spans="1:14" ht="60" customHeight="1" x14ac:dyDescent="0.2">
      <c r="A23" s="11" t="s">
        <v>428</v>
      </c>
      <c r="B23" s="12" t="s">
        <v>395</v>
      </c>
      <c r="C23" s="12" t="s">
        <v>429</v>
      </c>
      <c r="D23" s="12" t="s">
        <v>430</v>
      </c>
      <c r="E23" s="12" t="s">
        <v>431</v>
      </c>
      <c r="F23" s="12" t="s">
        <v>432</v>
      </c>
      <c r="G23" s="12" t="s">
        <v>433</v>
      </c>
      <c r="H23" s="21" t="s">
        <v>481</v>
      </c>
      <c r="I23" s="12" t="s">
        <v>49</v>
      </c>
      <c r="J23" s="12" t="s">
        <v>50</v>
      </c>
      <c r="K23" s="12" t="s">
        <v>61</v>
      </c>
      <c r="L23" s="12" t="s">
        <v>52</v>
      </c>
      <c r="M23" s="12" t="s">
        <v>53</v>
      </c>
      <c r="N23" s="12" t="s">
        <v>434</v>
      </c>
    </row>
    <row r="24" spans="1:14" ht="60" customHeight="1" x14ac:dyDescent="0.2">
      <c r="A24" s="9" t="s">
        <v>435</v>
      </c>
      <c r="B24" s="10" t="s">
        <v>395</v>
      </c>
      <c r="C24" s="10" t="s">
        <v>436</v>
      </c>
      <c r="D24" s="10" t="s">
        <v>437</v>
      </c>
      <c r="E24" s="10" t="s">
        <v>308</v>
      </c>
      <c r="F24" s="10" t="s">
        <v>438</v>
      </c>
      <c r="G24" s="10" t="s">
        <v>439</v>
      </c>
      <c r="H24" s="21" t="s">
        <v>481</v>
      </c>
      <c r="I24" s="10" t="s">
        <v>49</v>
      </c>
      <c r="J24" s="10" t="s">
        <v>50</v>
      </c>
      <c r="K24" s="10" t="s">
        <v>61</v>
      </c>
      <c r="L24" s="10" t="s">
        <v>52</v>
      </c>
      <c r="M24" s="10" t="s">
        <v>53</v>
      </c>
      <c r="N24" s="10" t="s">
        <v>54</v>
      </c>
    </row>
    <row r="25" spans="1:14" ht="60" customHeight="1" x14ac:dyDescent="0.2">
      <c r="A25" s="11" t="s">
        <v>440</v>
      </c>
      <c r="B25" s="12" t="s">
        <v>441</v>
      </c>
      <c r="C25" s="12" t="s">
        <v>442</v>
      </c>
      <c r="D25" s="12" t="s">
        <v>443</v>
      </c>
      <c r="E25" s="12" t="s">
        <v>444</v>
      </c>
      <c r="F25" s="12" t="s">
        <v>123</v>
      </c>
      <c r="G25" s="12" t="s">
        <v>445</v>
      </c>
      <c r="H25" s="21" t="s">
        <v>481</v>
      </c>
      <c r="I25" s="12" t="s">
        <v>49</v>
      </c>
      <c r="J25" s="12" t="s">
        <v>50</v>
      </c>
      <c r="K25" s="12" t="s">
        <v>51</v>
      </c>
      <c r="L25" s="12" t="s">
        <v>52</v>
      </c>
      <c r="M25" s="12" t="s">
        <v>53</v>
      </c>
      <c r="N25" s="12" t="s">
        <v>446</v>
      </c>
    </row>
    <row r="26" spans="1:14" ht="60" customHeight="1" x14ac:dyDescent="0.2">
      <c r="A26" s="9" t="s">
        <v>447</v>
      </c>
      <c r="B26" s="10" t="s">
        <v>441</v>
      </c>
      <c r="C26" s="10" t="s">
        <v>448</v>
      </c>
      <c r="D26" s="10" t="s">
        <v>449</v>
      </c>
      <c r="E26" s="10" t="s">
        <v>450</v>
      </c>
      <c r="F26" s="10" t="s">
        <v>451</v>
      </c>
      <c r="G26" s="10" t="s">
        <v>452</v>
      </c>
      <c r="H26" s="21" t="s">
        <v>481</v>
      </c>
      <c r="I26" s="10" t="s">
        <v>49</v>
      </c>
      <c r="J26" s="10" t="s">
        <v>50</v>
      </c>
      <c r="K26" s="10" t="s">
        <v>61</v>
      </c>
      <c r="L26" s="10" t="s">
        <v>52</v>
      </c>
      <c r="M26" s="10" t="s">
        <v>53</v>
      </c>
      <c r="N26" s="10" t="s">
        <v>453</v>
      </c>
    </row>
    <row r="27" spans="1:14" ht="60" customHeight="1" x14ac:dyDescent="0.2">
      <c r="A27" s="11" t="s">
        <v>454</v>
      </c>
      <c r="B27" s="12" t="s">
        <v>441</v>
      </c>
      <c r="C27" s="12" t="s">
        <v>455</v>
      </c>
      <c r="D27" s="12" t="s">
        <v>456</v>
      </c>
      <c r="E27" s="12" t="s">
        <v>308</v>
      </c>
      <c r="F27" s="12" t="s">
        <v>123</v>
      </c>
      <c r="G27" s="12" t="s">
        <v>457</v>
      </c>
      <c r="H27" s="21" t="s">
        <v>481</v>
      </c>
      <c r="I27" s="12" t="s">
        <v>49</v>
      </c>
      <c r="J27" s="12" t="s">
        <v>50</v>
      </c>
      <c r="K27" s="12" t="s">
        <v>75</v>
      </c>
      <c r="L27" s="12" t="s">
        <v>52</v>
      </c>
      <c r="M27" s="12" t="s">
        <v>53</v>
      </c>
      <c r="N27" s="12" t="s">
        <v>54</v>
      </c>
    </row>
    <row r="28" spans="1:14" ht="60" customHeight="1" x14ac:dyDescent="0.2">
      <c r="A28" s="9" t="s">
        <v>458</v>
      </c>
      <c r="B28" s="10" t="s">
        <v>459</v>
      </c>
      <c r="C28" s="10" t="s">
        <v>460</v>
      </c>
      <c r="D28" s="10" t="s">
        <v>461</v>
      </c>
      <c r="E28" s="10" t="s">
        <v>462</v>
      </c>
      <c r="F28" s="10" t="s">
        <v>123</v>
      </c>
      <c r="G28" s="10" t="s">
        <v>463</v>
      </c>
      <c r="H28" s="21" t="s">
        <v>481</v>
      </c>
      <c r="I28" s="10" t="s">
        <v>49</v>
      </c>
      <c r="J28" s="10" t="s">
        <v>50</v>
      </c>
      <c r="K28" s="10" t="s">
        <v>61</v>
      </c>
      <c r="L28" s="10" t="s">
        <v>52</v>
      </c>
      <c r="M28" s="10" t="s">
        <v>53</v>
      </c>
      <c r="N28" s="10" t="s">
        <v>464</v>
      </c>
    </row>
    <row r="29" spans="1:14" ht="60" customHeight="1" x14ac:dyDescent="0.2">
      <c r="A29" s="11" t="s">
        <v>465</v>
      </c>
      <c r="B29" s="12" t="s">
        <v>459</v>
      </c>
      <c r="C29" s="12" t="s">
        <v>466</v>
      </c>
      <c r="D29" s="12" t="s">
        <v>467</v>
      </c>
      <c r="E29" s="12" t="s">
        <v>468</v>
      </c>
      <c r="F29" s="12" t="s">
        <v>123</v>
      </c>
      <c r="G29" s="12" t="s">
        <v>469</v>
      </c>
      <c r="H29" s="21" t="s">
        <v>481</v>
      </c>
      <c r="I29" s="12" t="s">
        <v>49</v>
      </c>
      <c r="J29" s="12" t="s">
        <v>50</v>
      </c>
      <c r="K29" s="12" t="s">
        <v>61</v>
      </c>
      <c r="L29" s="12" t="s">
        <v>52</v>
      </c>
      <c r="M29" s="12" t="s">
        <v>53</v>
      </c>
      <c r="N29" s="12" t="s">
        <v>470</v>
      </c>
    </row>
  </sheetData>
  <autoFilter ref="A1:N29" xr:uid="{00000000-0009-0000-0000-000002000000}"/>
  <conditionalFormatting sqref="J2:J29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"Blocked"</formula>
    </cfRule>
    <cfRule type="cellIs" dxfId="0" priority="5" operator="equal">
      <formula>"Not Executed"</formula>
    </cfRule>
  </conditionalFormatting>
  <dataValidations count="3">
    <dataValidation type="list" allowBlank="1" errorTitle="Invalid entry" error="Please choose a value from the list." sqref="J2:J29" xr:uid="{00000000-0002-0000-0200-000000000000}">
      <formula1>"Pass,Fail,Blocked,Not Executed"</formula1>
      <formula2>0</formula2>
    </dataValidation>
    <dataValidation type="list" allowBlank="1" sqref="H2:H29" xr:uid="{00000000-0002-0000-0200-000001000000}">
      <formula1>"Desktop - Chrome,Desktop - Edge,Desktop - Firefox,Desktop - Safari,Mobile - iOS Safari,Mobile - Android Chrome,Tablet - iPadOS Safari,Tablet - Android Chrome"</formula1>
      <formula2>0</formula2>
    </dataValidation>
    <dataValidation type="list" allowBlank="1" sqref="K2:K29" xr:uid="{00000000-0002-0000-02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showGridLines="0" zoomScaleNormal="100" workbookViewId="0"/>
  </sheetViews>
  <sheetFormatPr baseColWidth="10" defaultColWidth="8.6640625" defaultRowHeight="15" x14ac:dyDescent="0.2"/>
  <cols>
    <col min="1" max="1" width="26" customWidth="1"/>
    <col min="2" max="2" width="16" customWidth="1"/>
  </cols>
  <sheetData>
    <row r="1" spans="1:2" ht="20" x14ac:dyDescent="0.2">
      <c r="A1" s="1" t="s">
        <v>471</v>
      </c>
      <c r="B1" s="1"/>
    </row>
    <row r="3" spans="1:2" x14ac:dyDescent="0.2">
      <c r="A3" s="13" t="s">
        <v>472</v>
      </c>
      <c r="B3" s="14">
        <f>COUNTA('UAT Test Cases'!A2:A46)+COUNTA('Admin UAT Test Cases'!A2:A29)</f>
        <v>73</v>
      </c>
    </row>
    <row r="4" spans="1:2" x14ac:dyDescent="0.2">
      <c r="A4" s="13" t="s">
        <v>473</v>
      </c>
      <c r="B4" s="15">
        <f>COUNTIF('UAT Test Cases'!J2:J46,"Pass")+COUNTIF('Admin UAT Test Cases'!J2:J29,"Pass")</f>
        <v>73</v>
      </c>
    </row>
    <row r="5" spans="1:2" x14ac:dyDescent="0.2">
      <c r="A5" s="13" t="s">
        <v>474</v>
      </c>
      <c r="B5" s="16">
        <f>COUNTIF('UAT Test Cases'!J2:J46,"Fail")+COUNTIF('Admin UAT Test Cases'!J2:J29,"Fail")</f>
        <v>0</v>
      </c>
    </row>
    <row r="6" spans="1:2" x14ac:dyDescent="0.2">
      <c r="A6" s="13" t="s">
        <v>475</v>
      </c>
      <c r="B6" s="17">
        <f>COUNTIF('UAT Test Cases'!J2:J46,"Blocked")+COUNTIF('Admin UAT Test Cases'!J2:J29,"Blocked")</f>
        <v>0</v>
      </c>
    </row>
    <row r="7" spans="1:2" x14ac:dyDescent="0.2">
      <c r="A7" s="13" t="s">
        <v>476</v>
      </c>
      <c r="B7" s="18">
        <f>COUNTIF('UAT Test Cases'!J2:J46,"Not Executed")+COUNTIF('Admin UAT Test Cases'!J2:J29,"Not Executed")</f>
        <v>0</v>
      </c>
    </row>
    <row r="8" spans="1:2" x14ac:dyDescent="0.2">
      <c r="A8" s="13" t="s">
        <v>477</v>
      </c>
      <c r="B8" s="19">
        <f>IFERROR(B4/B3,0)</f>
        <v>1</v>
      </c>
    </row>
    <row r="10" spans="1:2" ht="17" x14ac:dyDescent="0.2">
      <c r="A10" s="20" t="s">
        <v>478</v>
      </c>
    </row>
    <row r="11" spans="1:2" x14ac:dyDescent="0.2">
      <c r="A11" s="13" t="s">
        <v>29</v>
      </c>
      <c r="B11" s="13" t="s">
        <v>479</v>
      </c>
    </row>
    <row r="12" spans="1:2" x14ac:dyDescent="0.2">
      <c r="A12" s="14" t="s">
        <v>43</v>
      </c>
      <c r="B12" s="14">
        <f>COUNTIF('UAT Test Cases'!B2:B46,"Home / Route Search")</f>
        <v>10</v>
      </c>
    </row>
    <row r="13" spans="1:2" x14ac:dyDescent="0.2">
      <c r="A13" s="14" t="s">
        <v>109</v>
      </c>
      <c r="B13" s="14">
        <f>COUNTIF('UAT Test Cases'!B2:B46,"Route Details")</f>
        <v>3</v>
      </c>
    </row>
    <row r="14" spans="1:2" x14ac:dyDescent="0.2">
      <c r="A14" s="14" t="s">
        <v>126</v>
      </c>
      <c r="B14" s="14">
        <f>COUNTIF('UAT Test Cases'!B2:B46,"Login")</f>
        <v>5</v>
      </c>
    </row>
    <row r="15" spans="1:2" x14ac:dyDescent="0.2">
      <c r="A15" s="14" t="s">
        <v>153</v>
      </c>
      <c r="B15" s="14">
        <f>COUNTIF('UAT Test Cases'!B2:B46,"Register")</f>
        <v>4</v>
      </c>
    </row>
    <row r="16" spans="1:2" x14ac:dyDescent="0.2">
      <c r="A16" s="14" t="s">
        <v>177</v>
      </c>
      <c r="B16" s="14">
        <f>COUNTIF('UAT Test Cases'!B2:B46,"Incident Report")</f>
        <v>7</v>
      </c>
    </row>
    <row r="17" spans="1:2" x14ac:dyDescent="0.2">
      <c r="A17" s="14" t="s">
        <v>216</v>
      </c>
      <c r="B17" s="14">
        <f>COUNTIF('UAT Test Cases'!B2:B46,"Profile")</f>
        <v>3</v>
      </c>
    </row>
    <row r="18" spans="1:2" x14ac:dyDescent="0.2">
      <c r="A18" s="14" t="s">
        <v>234</v>
      </c>
      <c r="B18" s="14">
        <f>COUNTIF('UAT Test Cases'!B2:B46,"AI Chat Assistant")</f>
        <v>3</v>
      </c>
    </row>
    <row r="19" spans="1:2" x14ac:dyDescent="0.2">
      <c r="A19" s="14" t="s">
        <v>251</v>
      </c>
      <c r="B19" s="14">
        <f>COUNTIF('UAT Test Cases'!B2:B46,"General UX")</f>
        <v>10</v>
      </c>
    </row>
    <row r="21" spans="1:2" ht="17" x14ac:dyDescent="0.2">
      <c r="A21" s="20" t="s">
        <v>480</v>
      </c>
    </row>
    <row r="22" spans="1:2" x14ac:dyDescent="0.2">
      <c r="A22" s="13" t="s">
        <v>29</v>
      </c>
      <c r="B22" s="13" t="s">
        <v>479</v>
      </c>
    </row>
    <row r="23" spans="1:2" x14ac:dyDescent="0.2">
      <c r="A23" s="14" t="s">
        <v>298</v>
      </c>
      <c r="B23" s="14">
        <f>COUNTIF('Admin UAT Test Cases'!B2:B29,"Admin Access")</f>
        <v>4</v>
      </c>
    </row>
    <row r="24" spans="1:2" x14ac:dyDescent="0.2">
      <c r="A24" s="14" t="s">
        <v>324</v>
      </c>
      <c r="B24" s="14">
        <f>COUNTIF('Admin UAT Test Cases'!B2:B29,"Admin - Overview")</f>
        <v>4</v>
      </c>
    </row>
    <row r="25" spans="1:2" x14ac:dyDescent="0.2">
      <c r="A25" s="14" t="s">
        <v>349</v>
      </c>
      <c r="B25" s="14">
        <f>COUNTIF('Admin UAT Test Cases'!B2:B29,"Admin - Search Logs")</f>
        <v>4</v>
      </c>
    </row>
    <row r="26" spans="1:2" x14ac:dyDescent="0.2">
      <c r="A26" s="14" t="s">
        <v>372</v>
      </c>
      <c r="B26" s="14">
        <f>COUNTIF('Admin UAT Test Cases'!B2:B29,"Admin - Incident Logs")</f>
        <v>4</v>
      </c>
    </row>
    <row r="27" spans="1:2" x14ac:dyDescent="0.2">
      <c r="A27" s="14" t="s">
        <v>395</v>
      </c>
      <c r="B27" s="14">
        <f>COUNTIF('Admin UAT Test Cases'!B2:B29,"Admin - User Management")</f>
        <v>7</v>
      </c>
    </row>
    <row r="28" spans="1:2" x14ac:dyDescent="0.2">
      <c r="A28" s="14" t="s">
        <v>441</v>
      </c>
      <c r="B28" s="14">
        <f>COUNTIF('Admin UAT Test Cases'!B2:B29,"Admin - Login Logs")</f>
        <v>3</v>
      </c>
    </row>
    <row r="29" spans="1:2" x14ac:dyDescent="0.2">
      <c r="A29" s="14" t="s">
        <v>459</v>
      </c>
      <c r="B29" s="14">
        <f>COUNTIF('Admin UAT Test Cases'!B2:B29,"Admin - General UX")</f>
        <v>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UAT Test Cases</vt:lpstr>
      <vt:lpstr>Admin UAT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 Pyae Phyo Thaw</cp:lastModifiedBy>
  <cp:revision>0</cp:revision>
  <dcterms:created xsi:type="dcterms:W3CDTF">2026-08-17T05:41:07Z</dcterms:created>
  <dcterms:modified xsi:type="dcterms:W3CDTF">2026-08-17T05:46:01Z</dcterms:modified>
  <dc:language>en-US</dc:language>
</cp:coreProperties>
</file>